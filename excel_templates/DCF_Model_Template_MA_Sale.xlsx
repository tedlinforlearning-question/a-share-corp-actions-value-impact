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概览" sheetId="1" state="visible" r:id="rId1"/>
    <sheet xmlns:r="http://schemas.openxmlformats.org/officeDocument/2006/relationships" name="历史财务数据" sheetId="2" state="visible" r:id="rId2"/>
    <sheet xmlns:r="http://schemas.openxmlformats.org/officeDocument/2006/relationships" name="可比公司与WACC" sheetId="3" state="visible" r:id="rId3"/>
    <sheet xmlns:r="http://schemas.openxmlformats.org/officeDocument/2006/relationships" name="独立DCF" sheetId="4" state="visible" r:id="rId4"/>
    <sheet xmlns:r="http://schemas.openxmlformats.org/officeDocument/2006/relationships" name="剩余业务DCF" sheetId="5" state="visible" r:id="rId5"/>
    <sheet xmlns:r="http://schemas.openxmlformats.org/officeDocument/2006/relationships" name="出售前参考" sheetId="6" state="visible" r:id="rId6"/>
    <sheet xmlns:r="http://schemas.openxmlformats.org/officeDocument/2006/relationships" name="估值对比" sheetId="7" state="visible" r:id="rId7"/>
    <sheet xmlns:r="http://schemas.openxmlformats.org/officeDocument/2006/relationships" name="敏感性分析" sheetId="8" state="visible" r:id="rId8"/>
    <sheet xmlns:r="http://schemas.openxmlformats.org/officeDocument/2006/relationships" name="关键假设清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sz val="10"/>
    </font>
    <font>
      <name val="微软雅黑"/>
      <sz val="10"/>
    </font>
    <font>
      <name val="微软雅黑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 wrapText="1"/>
    </xf>
    <xf numFmtId="4" fontId="2" fillId="4" borderId="1" applyAlignment="1" pivotButton="0" quotePrefix="0" xfId="0">
      <alignment horizontal="right" vertical="center"/>
    </xf>
    <xf numFmtId="1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 wrapText="1"/>
    </xf>
    <xf numFmtId="4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某*ST企业 — M&amp;A 重大资产出售交易概览</t>
        </is>
      </c>
    </row>
    <row r="2">
      <c r="A2" s="2" t="inlineStr">
        <is>
          <t>公司名称</t>
        </is>
      </c>
      <c r="B2" s="3" t="inlineStr">
        <is>
          <t>某*ST企业</t>
        </is>
      </c>
    </row>
    <row r="3">
      <c r="A3" s="2" t="inlineStr">
        <is>
          <t>股票代码</t>
        </is>
      </c>
      <c r="B3" s="3" t="inlineStr">
        <is>
          <t>XXXXXX.SZ</t>
        </is>
      </c>
    </row>
    <row r="4">
      <c r="A4" s="2" t="inlineStr">
        <is>
          <t>估值基准日</t>
        </is>
      </c>
      <c r="B4" s="3" t="inlineStr">
        <is>
          <t>2024-12-31</t>
        </is>
      </c>
    </row>
    <row r="5">
      <c r="A5" s="2" t="inlineStr">
        <is>
          <t>基准年</t>
        </is>
      </c>
      <c r="B5" s="3" t="inlineStr">
        <is>
          <t>2024</t>
        </is>
      </c>
    </row>
    <row r="6">
      <c r="A6" s="2" t="inlineStr">
        <is>
          <t>预测期</t>
        </is>
      </c>
      <c r="B6" s="3" t="inlineStr">
        <is>
          <t>6年 (2025E - 2030E)</t>
        </is>
      </c>
    </row>
    <row r="7">
      <c r="A7" s="2" t="inlineStr">
        <is>
          <t>项目类型</t>
        </is>
      </c>
      <c r="B7" s="3" t="inlineStr">
        <is>
          <t>M&amp;A 重大资产出售交易概览</t>
        </is>
      </c>
    </row>
    <row r="9">
      <c r="A9" s="2" t="inlineStr">
        <is>
          <t>股份处理方式</t>
        </is>
      </c>
      <c r="B9" s="3" t="inlineStr">
        <is>
          <t>不适用</t>
        </is>
      </c>
    </row>
    <row r="10">
      <c r="A10" s="2" t="inlineStr">
        <is>
          <t>基准日总股本(万股)</t>
        </is>
      </c>
      <c r="B10" s="3" t="inlineStr">
        <is>
          <t>173,000</t>
        </is>
      </c>
    </row>
    <row r="11">
      <c r="A11" s="2" t="inlineStr">
        <is>
          <t>交易后总股本(万股)</t>
        </is>
      </c>
      <c r="B11" s="3" t="inlineStr">
        <is>
          <t>173,000（不变）</t>
        </is>
      </c>
    </row>
    <row r="13">
      <c r="A13" s="2" t="inlineStr">
        <is>
          <t>出售前归母权益(万元)</t>
        </is>
      </c>
      <c r="B13" s="3" t="inlineStr">
        <is>
          <t>-175,000</t>
        </is>
      </c>
    </row>
    <row r="14">
      <c r="A14" s="2" t="inlineStr">
        <is>
          <t>出售后备考归母权益(万元)</t>
        </is>
      </c>
      <c r="B14" s="3" t="inlineStr">
        <is>
          <t>49,000</t>
        </is>
      </c>
    </row>
    <row r="15">
      <c r="A15" s="2" t="inlineStr">
        <is>
          <t>DCF是否适用(出售前)</t>
        </is>
      </c>
      <c r="B15" s="3" t="inlineStr">
        <is>
          <t>不适用 ✗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某*ST企业 — 历史财务数据</t>
        </is>
      </c>
    </row>
    <row r="2">
      <c r="A2" s="4" t="inlineStr">
        <is>
          <t>一、合并利润表（万元）</t>
        </is>
      </c>
    </row>
    <row r="3">
      <c r="A3" s="1" t="inlineStr">
        <is>
          <t>项目</t>
        </is>
      </c>
      <c r="B3" s="1" t="inlineStr">
        <is>
          <t>2022</t>
        </is>
      </c>
      <c r="C3" s="1" t="inlineStr">
        <is>
          <t>2023</t>
        </is>
      </c>
      <c r="D3" s="1" t="inlineStr">
        <is>
          <t>2024</t>
        </is>
      </c>
    </row>
    <row r="4">
      <c r="A4" s="3" t="inlineStr">
        <is>
          <t>营业收入</t>
        </is>
      </c>
      <c r="B4" s="5" t="n">
        <v>120000</v>
      </c>
      <c r="C4" s="5" t="n">
        <v>95000</v>
      </c>
      <c r="D4" s="5" t="n">
        <v>80000</v>
      </c>
    </row>
    <row r="5">
      <c r="A5" s="3" t="inlineStr">
        <is>
          <t>营业成本</t>
        </is>
      </c>
      <c r="B5" s="5" t="n">
        <v>110000</v>
      </c>
      <c r="C5" s="5" t="n">
        <v>100000</v>
      </c>
      <c r="D5" s="5" t="n">
        <v>95000</v>
      </c>
    </row>
    <row r="6">
      <c r="A6" s="3" t="inlineStr">
        <is>
          <t>利润总额</t>
        </is>
      </c>
      <c r="B6" s="5" t="n">
        <v>-35000</v>
      </c>
      <c r="C6" s="5" t="n">
        <v>-28000</v>
      </c>
      <c r="D6" s="5" t="n">
        <v>-15000</v>
      </c>
    </row>
    <row r="7">
      <c r="A7" s="6" t="inlineStr">
        <is>
          <t>归母净利润</t>
        </is>
      </c>
      <c r="B7" s="7" t="n">
        <v>-30000</v>
      </c>
      <c r="C7" s="7" t="n">
        <v>-25000</v>
      </c>
      <c r="D7" s="7" t="n">
        <v>-12000</v>
      </c>
    </row>
    <row r="9">
      <c r="A9" s="4" t="inlineStr">
        <is>
          <t>二、关键财务指标</t>
        </is>
      </c>
    </row>
    <row r="10">
      <c r="A10" s="1" t="inlineStr">
        <is>
          <t>指标</t>
        </is>
      </c>
      <c r="B10" s="1" t="inlineStr">
        <is>
          <t>2022</t>
        </is>
      </c>
      <c r="C10" s="1" t="inlineStr">
        <is>
          <t>2023</t>
        </is>
      </c>
      <c r="D10" s="1" t="inlineStr">
        <is>
          <t>2024</t>
        </is>
      </c>
    </row>
    <row r="11">
      <c r="A11" s="3" t="inlineStr">
        <is>
          <t>EBIT利润率</t>
        </is>
      </c>
      <c r="B11" s="8" t="n">
        <v>-0.2916666666666667</v>
      </c>
      <c r="C11" s="8" t="n">
        <v>-0.2947368421052631</v>
      </c>
      <c r="D11" s="8" t="n">
        <v>-0.1875</v>
      </c>
    </row>
    <row r="12">
      <c r="A12" s="3" t="inlineStr">
        <is>
          <t>收入同比增速</t>
        </is>
      </c>
      <c r="B12" s="8" t="n">
        <v>0</v>
      </c>
      <c r="C12" s="8" t="n">
        <v>-0.2083333333333333</v>
      </c>
      <c r="D12" s="8" t="n">
        <v>-0.1578947368421053</v>
      </c>
    </row>
    <row r="14">
      <c r="A14" s="4" t="inlineStr">
        <is>
          <t>三、资产负债表关键项目（万元，基准日）</t>
        </is>
      </c>
    </row>
    <row r="15">
      <c r="A15" s="2" t="inlineStr">
        <is>
          <t>货币资金</t>
        </is>
      </c>
      <c r="B15" s="9" t="inlineStr">
        <is>
          <t>15,000</t>
        </is>
      </c>
    </row>
    <row r="16">
      <c r="A16" s="2" t="inlineStr">
        <is>
          <t>应收账款(含票据及融资)</t>
        </is>
      </c>
      <c r="B16" s="9" t="inlineStr">
        <is>
          <t>22,000</t>
        </is>
      </c>
    </row>
    <row r="17">
      <c r="A17" s="2" t="inlineStr">
        <is>
          <t>存货</t>
        </is>
      </c>
      <c r="B17" s="9" t="inlineStr">
        <is>
          <t>60,000</t>
        </is>
      </c>
    </row>
    <row r="18">
      <c r="A18" s="2" t="inlineStr">
        <is>
          <t>应付账款</t>
        </is>
      </c>
      <c r="B18" s="9" t="inlineStr">
        <is>
          <t>35,000</t>
        </is>
      </c>
    </row>
    <row r="19">
      <c r="A19" s="2" t="inlineStr">
        <is>
          <t>固定资产净值</t>
        </is>
      </c>
      <c r="B19" s="9" t="inlineStr">
        <is>
          <t>50,000</t>
        </is>
      </c>
    </row>
    <row r="20">
      <c r="A20" s="2" t="inlineStr">
        <is>
          <t>在建工程</t>
        </is>
      </c>
      <c r="B20" s="9" t="inlineStr">
        <is>
          <t>0</t>
        </is>
      </c>
    </row>
    <row r="21">
      <c r="A21" s="2" t="inlineStr">
        <is>
          <t>有息负债合计</t>
        </is>
      </c>
      <c r="B21" s="9" t="inlineStr">
        <is>
          <t>160,000</t>
        </is>
      </c>
    </row>
    <row r="22">
      <c r="A22" s="3" t="inlineStr">
        <is>
          <t xml:space="preserve">  其中:短期借款</t>
        </is>
      </c>
      <c r="B22" s="9" t="inlineStr">
        <is>
          <t>40,000</t>
        </is>
      </c>
    </row>
    <row r="23">
      <c r="A23" s="3" t="inlineStr">
        <is>
          <t xml:space="preserve">  其中:长期借款</t>
        </is>
      </c>
      <c r="B23" s="9" t="inlineStr">
        <is>
          <t>100,000</t>
        </is>
      </c>
    </row>
    <row r="24">
      <c r="A24" s="3" t="inlineStr">
        <is>
          <t xml:space="preserve">  其中:一年内到期</t>
        </is>
      </c>
      <c r="B24" s="9" t="inlineStr">
        <is>
          <t>20,000</t>
        </is>
      </c>
    </row>
    <row r="25">
      <c r="A25" s="2" t="inlineStr">
        <is>
          <t>归母权益</t>
        </is>
      </c>
      <c r="B25" s="9" t="inlineStr">
        <is>
          <t>88,500</t>
        </is>
      </c>
    </row>
    <row r="26">
      <c r="A26" s="2" t="inlineStr">
        <is>
          <t>总股本(万股)</t>
        </is>
      </c>
      <c r="B26" s="9" t="inlineStr">
        <is>
          <t>173,000</t>
        </is>
      </c>
    </row>
    <row r="28">
      <c r="A28" s="4" t="inlineStr">
        <is>
          <t>四、折旧摊销（万元，基准年）</t>
        </is>
      </c>
    </row>
    <row r="29">
      <c r="A29" s="3" t="inlineStr">
        <is>
          <t>固定资产折旧</t>
        </is>
      </c>
      <c r="B29" s="9" t="n">
        <v>3000</v>
      </c>
    </row>
    <row r="30">
      <c r="A30" s="3" t="inlineStr">
        <is>
          <t>无形资产摊销</t>
        </is>
      </c>
      <c r="B30" s="9" t="n">
        <v>200</v>
      </c>
    </row>
    <row r="31">
      <c r="A31" s="3" t="inlineStr">
        <is>
          <t>长期待摊费用摊销</t>
        </is>
      </c>
      <c r="B31" s="9" t="n">
        <v>100</v>
      </c>
    </row>
    <row r="32">
      <c r="A32" s="3" t="inlineStr">
        <is>
          <t>使用权资产折旧</t>
        </is>
      </c>
      <c r="B32" s="9" t="n">
        <v>200</v>
      </c>
    </row>
    <row r="33">
      <c r="A33" s="6" t="inlineStr">
        <is>
          <t>折旧摊销合计</t>
        </is>
      </c>
      <c r="B33" s="7" t="n">
        <v>3500</v>
      </c>
    </row>
    <row r="35">
      <c r="A35" s="4" t="inlineStr">
        <is>
          <t>五、CAPEX（万元，基准年）</t>
        </is>
      </c>
    </row>
    <row r="36">
      <c r="A36" s="3" t="inlineStr">
        <is>
          <t>购建固定资产支付的现金</t>
        </is>
      </c>
      <c r="B36" s="5" t="n">
        <v>5000</v>
      </c>
    </row>
  </sheetData>
  <mergeCells count="6">
    <mergeCell ref="A1:J1"/>
    <mergeCell ref="A14:J14"/>
    <mergeCell ref="A9:J9"/>
    <mergeCell ref="A35:J35"/>
    <mergeCell ref="A2:J2"/>
    <mergeCell ref="A28:J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某*ST企业 — 可比公司分析与WACC计算</t>
        </is>
      </c>
    </row>
    <row r="2">
      <c r="A2" s="4" t="inlineStr">
        <is>
          <t>一、可比公司 βU 去杠杆矩阵</t>
        </is>
      </c>
    </row>
    <row r="3">
      <c r="A3" s="1" t="inlineStr">
        <is>
          <t>公司</t>
        </is>
      </c>
      <c r="B3" s="1" t="inlineStr">
        <is>
          <t>总市值(万元)</t>
        </is>
      </c>
      <c r="C3" s="1" t="inlineStr">
        <is>
          <t>有息负债(万元)</t>
        </is>
      </c>
      <c r="D3" s="1" t="inlineStr">
        <is>
          <t>βL</t>
        </is>
      </c>
      <c r="E3" s="1" t="inlineStr">
        <is>
          <t>税率</t>
        </is>
      </c>
      <c r="F3" s="1" t="inlineStr">
        <is>
          <t>βU</t>
        </is>
      </c>
    </row>
    <row r="4">
      <c r="A4" s="10" t="inlineStr">
        <is>
          <t>公司A</t>
        </is>
      </c>
      <c r="B4" s="10" t="n">
        <v>600000</v>
      </c>
      <c r="C4" s="10" t="n">
        <v>108000</v>
      </c>
      <c r="D4" s="11" t="n">
        <v>1.15</v>
      </c>
      <c r="E4" s="11" t="n">
        <v>0.15</v>
      </c>
      <c r="F4" s="11" t="n">
        <v>1</v>
      </c>
    </row>
    <row r="5">
      <c r="A5" s="10" t="inlineStr">
        <is>
          <t>公司B</t>
        </is>
      </c>
      <c r="B5" s="10" t="n">
        <v>450000</v>
      </c>
      <c r="C5" s="10" t="n">
        <v>112500</v>
      </c>
      <c r="D5" s="11" t="n">
        <v>0.95</v>
      </c>
      <c r="E5" s="11" t="n">
        <v>0.25</v>
      </c>
      <c r="F5" s="11" t="n">
        <v>0.8</v>
      </c>
    </row>
    <row r="6">
      <c r="A6" s="10" t="inlineStr">
        <is>
          <t>公司C</t>
        </is>
      </c>
      <c r="B6" s="10" t="n">
        <v>800000</v>
      </c>
      <c r="C6" s="10" t="n">
        <v>240000</v>
      </c>
      <c r="D6" s="11" t="n">
        <v>1.3</v>
      </c>
      <c r="E6" s="11" t="n">
        <v>0.15</v>
      </c>
      <c r="F6" s="11" t="n">
        <v>1.03</v>
      </c>
    </row>
    <row r="7">
      <c r="A7" s="10" t="inlineStr">
        <is>
          <t>公司D</t>
        </is>
      </c>
      <c r="B7" s="10" t="n">
        <v>350000</v>
      </c>
      <c r="C7" s="10" t="n">
        <v>42000</v>
      </c>
      <c r="D7" s="11" t="n">
        <v>0.85</v>
      </c>
      <c r="E7" s="11" t="n">
        <v>0.15</v>
      </c>
      <c r="F7" s="11" t="n">
        <v>0.78</v>
      </c>
    </row>
    <row r="8">
      <c r="A8" s="10" t="inlineStr">
        <is>
          <t>公司E</t>
        </is>
      </c>
      <c r="B8" s="10" t="n">
        <v>500000</v>
      </c>
      <c r="C8" s="10" t="n">
        <v>100000</v>
      </c>
      <c r="D8" s="11" t="n">
        <v>1.1</v>
      </c>
      <c r="E8" s="11" t="n">
        <v>0.15</v>
      </c>
      <c r="F8" s="11" t="n">
        <v>0.9399999999999999</v>
      </c>
    </row>
    <row r="9">
      <c r="A9" s="6" t="inlineStr">
        <is>
          <t>βU 均值</t>
        </is>
      </c>
      <c r="B9" s="7" t="n">
        <v>0.9099999999999999</v>
      </c>
    </row>
    <row r="10">
      <c r="A10" s="6" t="inlineStr">
        <is>
          <t>βU 中位数</t>
        </is>
      </c>
      <c r="B10" s="7" t="n">
        <v>0.9399999999999999</v>
      </c>
    </row>
    <row r="12">
      <c r="A12" s="4" t="inlineStr">
        <is>
          <t>二、WACC 计算参数</t>
        </is>
      </c>
    </row>
    <row r="13">
      <c r="A13" s="1" t="inlineStr">
        <is>
          <t>参数</t>
        </is>
      </c>
      <c r="B13" s="1" t="inlineStr">
        <is>
          <t>取值</t>
        </is>
      </c>
      <c r="C13" s="1" t="inlineStr">
        <is>
          <t>来源/说明</t>
        </is>
      </c>
    </row>
    <row r="14">
      <c r="A14" s="2" t="inlineStr">
        <is>
          <t>无风险利率 Rf</t>
        </is>
      </c>
      <c r="B14" s="12" t="inlineStr">
        <is>
          <t>2.00%</t>
        </is>
      </c>
      <c r="C14" s="3" t="inlineStr">
        <is>
          <t>30年国债到期收益率</t>
        </is>
      </c>
    </row>
    <row r="15">
      <c r="A15" s="2" t="inlineStr">
        <is>
          <t>市场风险溢价 MRP</t>
        </is>
      </c>
      <c r="B15" s="12" t="inlineStr">
        <is>
          <t>6.50%</t>
        </is>
      </c>
      <c r="C15" s="3" t="inlineStr">
        <is>
          <t>沪深300历史平均-10年国债</t>
        </is>
      </c>
    </row>
    <row r="16">
      <c r="A16" s="2" t="inlineStr">
        <is>
          <t>可比βU均值</t>
        </is>
      </c>
      <c r="B16" s="12" t="inlineStr">
        <is>
          <t>0.9100</t>
        </is>
      </c>
      <c r="C16" s="3" t="inlineStr">
        <is>
          <t>Wind月频数据</t>
        </is>
      </c>
    </row>
    <row r="17">
      <c r="A17" s="2" t="inlineStr">
        <is>
          <t>目标D/E</t>
        </is>
      </c>
      <c r="B17" s="12" t="inlineStr">
        <is>
          <t>9248.6%</t>
        </is>
      </c>
      <c r="C17" s="3" t="inlineStr">
        <is>
          <t>基于账面值</t>
        </is>
      </c>
    </row>
    <row r="18">
      <c r="A18" s="2" t="inlineStr">
        <is>
          <t>推导βL</t>
        </is>
      </c>
      <c r="B18" s="12" t="inlineStr">
        <is>
          <t>0.9101</t>
        </is>
      </c>
      <c r="C18" s="3" t="inlineStr">
        <is>
          <t>βU → βL</t>
        </is>
      </c>
    </row>
    <row r="19">
      <c r="A19" s="2" t="inlineStr">
        <is>
          <t>股权成本 Ke</t>
        </is>
      </c>
      <c r="B19" s="12" t="inlineStr">
        <is>
          <t>9.50%</t>
        </is>
      </c>
      <c r="C19" s="3" t="inlineStr">
        <is>
          <t>CAPM</t>
        </is>
      </c>
    </row>
    <row r="20">
      <c r="A20" s="2" t="inlineStr">
        <is>
          <t>债务成本 Kd(税后)</t>
        </is>
      </c>
      <c r="B20" s="12" t="inlineStr">
        <is>
          <t>2.63%</t>
        </is>
      </c>
      <c r="C20" s="3" t="inlineStr">
        <is>
          <t>5年期LPR 3.5%</t>
        </is>
      </c>
    </row>
    <row r="21">
      <c r="A21" s="2" t="inlineStr">
        <is>
          <t>企业特定风险</t>
        </is>
      </c>
      <c r="B21" s="12" t="inlineStr">
        <is>
          <t>1.5%</t>
        </is>
      </c>
      <c r="C21" s="3" t="inlineStr">
        <is>
          <t>中小企业+流动性折价</t>
        </is>
      </c>
    </row>
    <row r="22">
      <c r="A22" s="2" t="inlineStr">
        <is>
          <t>独立WACC</t>
        </is>
      </c>
      <c r="B22" s="12" t="inlineStr">
        <is>
          <t>9.50%</t>
        </is>
      </c>
      <c r="C22" s="3" t="inlineStr">
        <is>
          <t>用于独立DCF</t>
        </is>
      </c>
    </row>
    <row r="23">
      <c r="A23" s="2" t="inlineStr">
        <is>
          <t>合并WACC</t>
        </is>
      </c>
      <c r="B23" s="12" t="inlineStr">
        <is>
          <t>9.50%</t>
        </is>
      </c>
      <c r="C23" s="3" t="inlineStr">
        <is>
          <t>独立WACC+0.3%整合风险</t>
        </is>
      </c>
    </row>
    <row r="24">
      <c r="A24" s="2" t="inlineStr">
        <is>
          <t>永续增长率 g</t>
        </is>
      </c>
      <c r="B24" s="12" t="inlineStr">
        <is>
          <t>2.0%</t>
        </is>
      </c>
      <c r="C24" s="3" t="inlineStr">
        <is>
          <t>标准假设</t>
        </is>
      </c>
    </row>
  </sheetData>
  <mergeCells count="3">
    <mergeCell ref="A1:J1"/>
    <mergeCell ref="A12:J12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某*ST企业 — 独立DCF (独立口径)</t>
        </is>
      </c>
    </row>
    <row r="2">
      <c r="A2" s="4" t="inlineStr">
        <is>
          <t>一、收入预测</t>
        </is>
      </c>
    </row>
    <row r="3">
      <c r="A3" s="1" t="inlineStr">
        <is>
          <t>项目</t>
        </is>
      </c>
      <c r="B3" s="1" t="inlineStr">
        <is>
          <t>2025E</t>
        </is>
      </c>
      <c r="C3" s="1" t="inlineStr">
        <is>
          <t>2026E</t>
        </is>
      </c>
      <c r="D3" s="1" t="inlineStr">
        <is>
          <t>2027E</t>
        </is>
      </c>
      <c r="E3" s="1" t="inlineStr">
        <is>
          <t>2028E</t>
        </is>
      </c>
      <c r="F3" s="1" t="inlineStr">
        <is>
          <t>2029E</t>
        </is>
      </c>
      <c r="G3" s="1" t="inlineStr">
        <is>
          <t>2030E</t>
        </is>
      </c>
    </row>
    <row r="4">
      <c r="A4" s="3" t="inlineStr">
        <is>
          <t>营业收入(万元)</t>
        </is>
      </c>
      <c r="B4" s="5" t="n">
        <v>84000</v>
      </c>
      <c r="C4" s="5" t="n">
        <v>88200</v>
      </c>
      <c r="D4" s="5" t="n">
        <v>91728</v>
      </c>
      <c r="E4" s="5" t="n">
        <v>94479.84</v>
      </c>
      <c r="F4" s="5" t="n">
        <v>97314.2352</v>
      </c>
      <c r="G4" s="5" t="n">
        <v>99260.519904</v>
      </c>
    </row>
    <row r="5">
      <c r="A5" s="3" t="inlineStr">
        <is>
          <t>收入增长率</t>
        </is>
      </c>
      <c r="B5" s="8" t="n">
        <v>0.05</v>
      </c>
      <c r="C5" s="8" t="n">
        <v>0.05</v>
      </c>
      <c r="D5" s="8" t="n">
        <v>0.04</v>
      </c>
      <c r="E5" s="8" t="n">
        <v>0.03</v>
      </c>
      <c r="F5" s="8" t="n">
        <v>0.03</v>
      </c>
      <c r="G5" s="8" t="n">
        <v>0.02</v>
      </c>
    </row>
    <row r="7">
      <c r="A7" s="4" t="inlineStr">
        <is>
          <t>二、利润预测</t>
        </is>
      </c>
    </row>
    <row r="8">
      <c r="A8" s="1" t="inlineStr">
        <is>
          <t>项目</t>
        </is>
      </c>
      <c r="B8" s="1" t="inlineStr">
        <is>
          <t>2025E</t>
        </is>
      </c>
      <c r="C8" s="1" t="inlineStr">
        <is>
          <t>2026E</t>
        </is>
      </c>
      <c r="D8" s="1" t="inlineStr">
        <is>
          <t>2027E</t>
        </is>
      </c>
      <c r="E8" s="1" t="inlineStr">
        <is>
          <t>2028E</t>
        </is>
      </c>
      <c r="F8" s="1" t="inlineStr">
        <is>
          <t>2029E</t>
        </is>
      </c>
      <c r="G8" s="1" t="inlineStr">
        <is>
          <t>2030E</t>
        </is>
      </c>
    </row>
    <row r="9">
      <c r="A9" s="3" t="inlineStr">
        <is>
          <t>EBIT(万元)</t>
        </is>
      </c>
      <c r="B9" s="5" t="n">
        <v>6720</v>
      </c>
      <c r="C9" s="5" t="n">
        <v>7056</v>
      </c>
      <c r="D9" s="5" t="n">
        <v>7338.24</v>
      </c>
      <c r="E9" s="5" t="n">
        <v>7558.3872</v>
      </c>
      <c r="F9" s="5" t="n">
        <v>7785.138816</v>
      </c>
      <c r="G9" s="5" t="n">
        <v>7940.84159232</v>
      </c>
    </row>
    <row r="10">
      <c r="A10" s="6" t="inlineStr">
        <is>
          <t>NOPAT = EBIT×(1-T)(万元)</t>
        </is>
      </c>
      <c r="B10" s="7" t="n">
        <v>5040</v>
      </c>
      <c r="C10" s="7" t="n">
        <v>5292</v>
      </c>
      <c r="D10" s="7" t="n">
        <v>5503.68</v>
      </c>
      <c r="E10" s="7" t="n">
        <v>5668.7904</v>
      </c>
      <c r="F10" s="7" t="n">
        <v>5838.854112</v>
      </c>
      <c r="G10" s="7" t="n">
        <v>5955.63119424</v>
      </c>
    </row>
    <row r="12">
      <c r="A12" s="4" t="inlineStr">
        <is>
          <t>三、FCFF 计算</t>
        </is>
      </c>
    </row>
    <row r="13">
      <c r="A13" s="1" t="inlineStr">
        <is>
          <t>项目</t>
        </is>
      </c>
      <c r="B13" s="1" t="inlineStr">
        <is>
          <t>2025E</t>
        </is>
      </c>
      <c r="C13" s="1" t="inlineStr">
        <is>
          <t>2026E</t>
        </is>
      </c>
      <c r="D13" s="1" t="inlineStr">
        <is>
          <t>2027E</t>
        </is>
      </c>
      <c r="E13" s="1" t="inlineStr">
        <is>
          <t>2028E</t>
        </is>
      </c>
      <c r="F13" s="1" t="inlineStr">
        <is>
          <t>2029E</t>
        </is>
      </c>
      <c r="G13" s="1" t="inlineStr">
        <is>
          <t>2030E</t>
        </is>
      </c>
    </row>
    <row r="14">
      <c r="A14" s="3" t="inlineStr">
        <is>
          <t>NOPAT</t>
        </is>
      </c>
      <c r="B14" s="5" t="n">
        <v>5040</v>
      </c>
      <c r="C14" s="5" t="n">
        <v>5292</v>
      </c>
      <c r="D14" s="5" t="n">
        <v>5503.68</v>
      </c>
      <c r="E14" s="5" t="n">
        <v>5668.7904</v>
      </c>
      <c r="F14" s="5" t="n">
        <v>5838.854112</v>
      </c>
      <c r="G14" s="5" t="n">
        <v>5955.63119424</v>
      </c>
    </row>
    <row r="15">
      <c r="A15" s="3" t="inlineStr">
        <is>
          <t>+ 折旧摊销</t>
        </is>
      </c>
      <c r="B15" s="5" t="n">
        <v>3675</v>
      </c>
      <c r="C15" s="5" t="n">
        <v>3858.75</v>
      </c>
      <c r="D15" s="5" t="n">
        <v>4051.6875</v>
      </c>
      <c r="E15" s="5" t="n">
        <v>4254.271875</v>
      </c>
      <c r="F15" s="5" t="n">
        <v>4466.985468750001</v>
      </c>
      <c r="G15" s="5" t="n">
        <v>4690.334742187501</v>
      </c>
    </row>
    <row r="16">
      <c r="A16" s="3" t="inlineStr">
        <is>
          <t>- CAPEX</t>
        </is>
      </c>
      <c r="B16" s="5" t="n">
        <v>-5000</v>
      </c>
      <c r="C16" s="5" t="n">
        <v>-5000</v>
      </c>
      <c r="D16" s="5" t="n">
        <v>-5000</v>
      </c>
      <c r="E16" s="5" t="n">
        <v>-5000</v>
      </c>
      <c r="F16" s="5" t="n">
        <v>-5000</v>
      </c>
      <c r="G16" s="5" t="n">
        <v>-5000</v>
      </c>
    </row>
    <row r="17">
      <c r="A17" s="3" t="inlineStr">
        <is>
          <t>- ΔNWC</t>
        </is>
      </c>
      <c r="B17" s="5" t="n">
        <v>-800</v>
      </c>
      <c r="C17" s="5" t="n">
        <v>-840</v>
      </c>
      <c r="D17" s="5" t="n">
        <v>-705.6000000000022</v>
      </c>
      <c r="E17" s="5" t="n">
        <v>-550.3679999999986</v>
      </c>
      <c r="F17" s="5" t="n">
        <v>-566.8790399999998</v>
      </c>
      <c r="G17" s="5" t="n">
        <v>-389.2569408000018</v>
      </c>
    </row>
    <row r="18">
      <c r="A18" s="6">
        <f> FCFF</f>
        <v/>
      </c>
      <c r="B18" s="7" t="n">
        <v>2915</v>
      </c>
      <c r="C18" s="7" t="n">
        <v>3310.75</v>
      </c>
      <c r="D18" s="7" t="n">
        <v>3849.767499999998</v>
      </c>
      <c r="E18" s="7" t="n">
        <v>4372.694275000002</v>
      </c>
      <c r="F18" s="7" t="n">
        <v>4738.960540750002</v>
      </c>
      <c r="G18" s="7" t="n">
        <v>5256.708995627499</v>
      </c>
    </row>
    <row r="20">
      <c r="A20" s="4" t="inlineStr">
        <is>
          <t>四、DCF 折现（WACC=9.50%）</t>
        </is>
      </c>
    </row>
    <row r="21">
      <c r="A21" s="1" t="inlineStr">
        <is>
          <t>项目</t>
        </is>
      </c>
      <c r="B21" s="1" t="inlineStr">
        <is>
          <t>2025E</t>
        </is>
      </c>
      <c r="C21" s="1" t="inlineStr">
        <is>
          <t>2026E</t>
        </is>
      </c>
      <c r="D21" s="1" t="inlineStr">
        <is>
          <t>2027E</t>
        </is>
      </c>
      <c r="E21" s="1" t="inlineStr">
        <is>
          <t>2028E</t>
        </is>
      </c>
      <c r="F21" s="1" t="inlineStr">
        <is>
          <t>2029E</t>
        </is>
      </c>
      <c r="G21" s="1" t="inlineStr">
        <is>
          <t>2030E</t>
        </is>
      </c>
    </row>
    <row r="22">
      <c r="A22" s="3" t="inlineStr">
        <is>
          <t>折现因子</t>
        </is>
      </c>
      <c r="B22" s="5" t="n">
        <v>0.9132420091324202</v>
      </c>
      <c r="C22" s="5" t="n">
        <v>0.8340109672442193</v>
      </c>
      <c r="D22" s="5" t="n">
        <v>0.7616538513645839</v>
      </c>
      <c r="E22" s="5" t="n">
        <v>0.6955742934836382</v>
      </c>
      <c r="F22" s="5" t="n">
        <v>0.6352276652818615</v>
      </c>
      <c r="G22" s="5" t="n">
        <v>0.5801165892985036</v>
      </c>
    </row>
    <row r="23">
      <c r="A23" s="6" t="inlineStr">
        <is>
          <t>PV(FCFF)(万元)</t>
        </is>
      </c>
      <c r="B23" s="7" t="n">
        <v>2662.100456621005</v>
      </c>
      <c r="C23" s="7" t="n">
        <v>2761.201809803799</v>
      </c>
      <c r="D23" s="7" t="n">
        <v>2932.190243233204</v>
      </c>
      <c r="E23" s="7" t="n">
        <v>3041.533730953076</v>
      </c>
      <c r="F23" s="7" t="n">
        <v>3010.318840163492</v>
      </c>
      <c r="G23" s="7" t="n">
        <v>3049.504093478188</v>
      </c>
    </row>
    <row r="25">
      <c r="A25" s="4" t="inlineStr">
        <is>
          <t>五、估值结果</t>
        </is>
      </c>
    </row>
    <row r="26">
      <c r="A26" s="3" t="inlineStr">
        <is>
          <t>PV(预测期FCFF)(万元)</t>
        </is>
      </c>
      <c r="B26" s="13" t="inlineStr">
        <is>
          <t>17,456.85</t>
        </is>
      </c>
    </row>
    <row r="27">
      <c r="A27" s="3" t="inlineStr">
        <is>
          <t>终值 TV(万元)</t>
        </is>
      </c>
      <c r="B27" s="13" t="inlineStr">
        <is>
          <t>71,491.24</t>
        </is>
      </c>
    </row>
    <row r="28">
      <c r="A28" s="3" t="inlineStr">
        <is>
          <t>PV(终值)(万元)</t>
        </is>
      </c>
      <c r="B28" s="13" t="inlineStr">
        <is>
          <t>41,473.26</t>
        </is>
      </c>
    </row>
    <row r="29">
      <c r="A29" s="3" t="inlineStr">
        <is>
          <t>终值占比</t>
        </is>
      </c>
      <c r="B29" s="13" t="inlineStr">
        <is>
          <t>70.4%</t>
        </is>
      </c>
    </row>
    <row r="30">
      <c r="A30" s="2" t="inlineStr">
        <is>
          <t>企业价值 EV(万元)</t>
        </is>
      </c>
      <c r="B30" s="14" t="inlineStr">
        <is>
          <t>58,930.10</t>
        </is>
      </c>
    </row>
    <row r="31">
      <c r="A31" s="3" t="inlineStr">
        <is>
          <t>+ 货币资金(万元)</t>
        </is>
      </c>
      <c r="B31" s="13" t="inlineStr">
        <is>
          <t>15,000.00</t>
        </is>
      </c>
    </row>
    <row r="32">
      <c r="A32" s="3" t="inlineStr">
        <is>
          <t>- 有息负债(万元)</t>
        </is>
      </c>
      <c r="B32" s="13" t="inlineStr">
        <is>
          <t>-160,000.00</t>
        </is>
      </c>
    </row>
    <row r="33">
      <c r="A33" s="3" t="inlineStr">
        <is>
          <t>- 少数股东权益(万元)</t>
        </is>
      </c>
      <c r="B33" s="13" t="inlineStr">
        <is>
          <t>-3,000.00</t>
        </is>
      </c>
    </row>
    <row r="34">
      <c r="A34" s="2">
        <f> 股权价值(万元)</f>
        <v/>
      </c>
      <c r="B34" s="14" t="inlineStr">
        <is>
          <t>-89,069.90</t>
        </is>
      </c>
    </row>
    <row r="35">
      <c r="A35" s="3" t="inlineStr">
        <is>
          <t>总股本(万股)</t>
        </is>
      </c>
      <c r="B35" s="13" t="inlineStr">
        <is>
          <t>173,000</t>
        </is>
      </c>
    </row>
    <row r="36">
      <c r="A36" s="2" t="inlineStr">
        <is>
          <t>每股价值(元)</t>
        </is>
      </c>
      <c r="B36" s="14" t="inlineStr">
        <is>
          <t>-0.51</t>
        </is>
      </c>
    </row>
  </sheetData>
  <mergeCells count="6">
    <mergeCell ref="A1:J1"/>
    <mergeCell ref="A12:J12"/>
    <mergeCell ref="A7:J7"/>
    <mergeCell ref="A20:J20"/>
    <mergeCell ref="A2:J2"/>
    <mergeCell ref="A25:J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某*ST企业 — 备考合并DCF (剩余业务(扣非)口径)</t>
        </is>
      </c>
    </row>
    <row r="2">
      <c r="A2" s="4" t="inlineStr">
        <is>
          <t>一、收入预测</t>
        </is>
      </c>
    </row>
    <row r="3">
      <c r="A3" s="1" t="inlineStr">
        <is>
          <t>项目</t>
        </is>
      </c>
      <c r="B3" s="1" t="inlineStr">
        <is>
          <t>2025E</t>
        </is>
      </c>
      <c r="C3" s="1" t="inlineStr">
        <is>
          <t>2026E</t>
        </is>
      </c>
      <c r="D3" s="1" t="inlineStr">
        <is>
          <t>2027E</t>
        </is>
      </c>
      <c r="E3" s="1" t="inlineStr">
        <is>
          <t>2028E</t>
        </is>
      </c>
      <c r="F3" s="1" t="inlineStr">
        <is>
          <t>2029E</t>
        </is>
      </c>
      <c r="G3" s="1" t="inlineStr">
        <is>
          <t>2030E</t>
        </is>
      </c>
    </row>
    <row r="4">
      <c r="A4" s="3" t="inlineStr">
        <is>
          <t>营业收入(万元)</t>
        </is>
      </c>
      <c r="B4" s="5" t="n">
        <v>84000</v>
      </c>
      <c r="C4" s="5" t="n">
        <v>88200</v>
      </c>
      <c r="D4" s="5" t="n">
        <v>91728</v>
      </c>
      <c r="E4" s="5" t="n">
        <v>94479.84</v>
      </c>
      <c r="F4" s="5" t="n">
        <v>97314.2352</v>
      </c>
      <c r="G4" s="5" t="n">
        <v>99260.519904</v>
      </c>
    </row>
    <row r="5">
      <c r="A5" s="3" t="inlineStr">
        <is>
          <t>收入增长率</t>
        </is>
      </c>
      <c r="B5" s="8" t="n">
        <v>0.05</v>
      </c>
      <c r="C5" s="8" t="n">
        <v>0.05</v>
      </c>
      <c r="D5" s="8" t="n">
        <v>0.04</v>
      </c>
      <c r="E5" s="8" t="n">
        <v>0.03</v>
      </c>
      <c r="F5" s="8" t="n">
        <v>0.03</v>
      </c>
      <c r="G5" s="8" t="n">
        <v>0.02</v>
      </c>
    </row>
    <row r="7">
      <c r="A7" s="4" t="inlineStr">
        <is>
          <t>二、利润预测</t>
        </is>
      </c>
    </row>
    <row r="8">
      <c r="A8" s="1" t="inlineStr">
        <is>
          <t>项目</t>
        </is>
      </c>
      <c r="B8" s="1" t="inlineStr">
        <is>
          <t>2025E</t>
        </is>
      </c>
      <c r="C8" s="1" t="inlineStr">
        <is>
          <t>2026E</t>
        </is>
      </c>
      <c r="D8" s="1" t="inlineStr">
        <is>
          <t>2027E</t>
        </is>
      </c>
      <c r="E8" s="1" t="inlineStr">
        <is>
          <t>2028E</t>
        </is>
      </c>
      <c r="F8" s="1" t="inlineStr">
        <is>
          <t>2029E</t>
        </is>
      </c>
      <c r="G8" s="1" t="inlineStr">
        <is>
          <t>2030E</t>
        </is>
      </c>
    </row>
    <row r="9">
      <c r="A9" s="3" t="inlineStr">
        <is>
          <t>EBIT(万元)</t>
        </is>
      </c>
      <c r="B9" s="5" t="n">
        <v>6720</v>
      </c>
      <c r="C9" s="5" t="n">
        <v>7056</v>
      </c>
      <c r="D9" s="5" t="n">
        <v>7338.24</v>
      </c>
      <c r="E9" s="5" t="n">
        <v>7558.3872</v>
      </c>
      <c r="F9" s="5" t="n">
        <v>7785.138816</v>
      </c>
      <c r="G9" s="5" t="n">
        <v>7940.84159232</v>
      </c>
    </row>
    <row r="10">
      <c r="A10" s="6" t="inlineStr">
        <is>
          <t>NOPAT = EBIT×(1-T)(万元)</t>
        </is>
      </c>
      <c r="B10" s="7" t="n">
        <v>5040</v>
      </c>
      <c r="C10" s="7" t="n">
        <v>5292</v>
      </c>
      <c r="D10" s="7" t="n">
        <v>5503.68</v>
      </c>
      <c r="E10" s="7" t="n">
        <v>5668.7904</v>
      </c>
      <c r="F10" s="7" t="n">
        <v>5838.854112</v>
      </c>
      <c r="G10" s="7" t="n">
        <v>5955.63119424</v>
      </c>
    </row>
    <row r="12">
      <c r="A12" s="4" t="inlineStr">
        <is>
          <t>三、FCFF 计算</t>
        </is>
      </c>
    </row>
    <row r="13">
      <c r="A13" s="1" t="inlineStr">
        <is>
          <t>项目</t>
        </is>
      </c>
      <c r="B13" s="1" t="inlineStr">
        <is>
          <t>2025E</t>
        </is>
      </c>
      <c r="C13" s="1" t="inlineStr">
        <is>
          <t>2026E</t>
        </is>
      </c>
      <c r="D13" s="1" t="inlineStr">
        <is>
          <t>2027E</t>
        </is>
      </c>
      <c r="E13" s="1" t="inlineStr">
        <is>
          <t>2028E</t>
        </is>
      </c>
      <c r="F13" s="1" t="inlineStr">
        <is>
          <t>2029E</t>
        </is>
      </c>
      <c r="G13" s="1" t="inlineStr">
        <is>
          <t>2030E</t>
        </is>
      </c>
    </row>
    <row r="14">
      <c r="A14" s="3" t="inlineStr">
        <is>
          <t>NOPAT</t>
        </is>
      </c>
      <c r="B14" s="5" t="n">
        <v>5040</v>
      </c>
      <c r="C14" s="5" t="n">
        <v>5292</v>
      </c>
      <c r="D14" s="5" t="n">
        <v>5503.68</v>
      </c>
      <c r="E14" s="5" t="n">
        <v>5668.7904</v>
      </c>
      <c r="F14" s="5" t="n">
        <v>5838.854112</v>
      </c>
      <c r="G14" s="5" t="n">
        <v>5955.63119424</v>
      </c>
    </row>
    <row r="15">
      <c r="A15" s="3" t="inlineStr">
        <is>
          <t>+ 折旧摊销</t>
        </is>
      </c>
      <c r="B15" s="5" t="n">
        <v>3675</v>
      </c>
      <c r="C15" s="5" t="n">
        <v>3858.75</v>
      </c>
      <c r="D15" s="5" t="n">
        <v>4051.6875</v>
      </c>
      <c r="E15" s="5" t="n">
        <v>4254.271875</v>
      </c>
      <c r="F15" s="5" t="n">
        <v>4466.985468750001</v>
      </c>
      <c r="G15" s="5" t="n">
        <v>4690.334742187501</v>
      </c>
    </row>
    <row r="16">
      <c r="A16" s="3" t="inlineStr">
        <is>
          <t>- CAPEX</t>
        </is>
      </c>
      <c r="B16" s="5" t="n">
        <v>-5000</v>
      </c>
      <c r="C16" s="5" t="n">
        <v>-5000</v>
      </c>
      <c r="D16" s="5" t="n">
        <v>-5000</v>
      </c>
      <c r="E16" s="5" t="n">
        <v>-5000</v>
      </c>
      <c r="F16" s="5" t="n">
        <v>-5000</v>
      </c>
      <c r="G16" s="5" t="n">
        <v>-5000</v>
      </c>
    </row>
    <row r="17">
      <c r="A17" s="3" t="inlineStr">
        <is>
          <t>- ΔNWC</t>
        </is>
      </c>
      <c r="B17" s="5" t="n">
        <v>-800</v>
      </c>
      <c r="C17" s="5" t="n">
        <v>-840</v>
      </c>
      <c r="D17" s="5" t="n">
        <v>-705.6000000000022</v>
      </c>
      <c r="E17" s="5" t="n">
        <v>-550.3679999999986</v>
      </c>
      <c r="F17" s="5" t="n">
        <v>-566.8790399999998</v>
      </c>
      <c r="G17" s="5" t="n">
        <v>-389.2569408000018</v>
      </c>
    </row>
    <row r="18">
      <c r="A18" s="6">
        <f> FCFF</f>
        <v/>
      </c>
      <c r="B18" s="7" t="n">
        <v>2915</v>
      </c>
      <c r="C18" s="7" t="n">
        <v>3310.75</v>
      </c>
      <c r="D18" s="7" t="n">
        <v>3849.767499999998</v>
      </c>
      <c r="E18" s="7" t="n">
        <v>4372.694275000002</v>
      </c>
      <c r="F18" s="7" t="n">
        <v>4738.960540750002</v>
      </c>
      <c r="G18" s="7" t="n">
        <v>5256.708995627499</v>
      </c>
    </row>
    <row r="20">
      <c r="A20" s="4" t="inlineStr">
        <is>
          <t>四、DCF 折现（WACC=9.50%）</t>
        </is>
      </c>
    </row>
    <row r="21">
      <c r="A21" s="1" t="inlineStr">
        <is>
          <t>项目</t>
        </is>
      </c>
      <c r="B21" s="1" t="inlineStr">
        <is>
          <t>2025E</t>
        </is>
      </c>
      <c r="C21" s="1" t="inlineStr">
        <is>
          <t>2026E</t>
        </is>
      </c>
      <c r="D21" s="1" t="inlineStr">
        <is>
          <t>2027E</t>
        </is>
      </c>
      <c r="E21" s="1" t="inlineStr">
        <is>
          <t>2028E</t>
        </is>
      </c>
      <c r="F21" s="1" t="inlineStr">
        <is>
          <t>2029E</t>
        </is>
      </c>
      <c r="G21" s="1" t="inlineStr">
        <is>
          <t>2030E</t>
        </is>
      </c>
    </row>
    <row r="22">
      <c r="A22" s="3" t="inlineStr">
        <is>
          <t>折现因子</t>
        </is>
      </c>
      <c r="B22" s="5" t="n">
        <v>0.9132420091324202</v>
      </c>
      <c r="C22" s="5" t="n">
        <v>0.8340109672442193</v>
      </c>
      <c r="D22" s="5" t="n">
        <v>0.7616538513645839</v>
      </c>
      <c r="E22" s="5" t="n">
        <v>0.6955742934836382</v>
      </c>
      <c r="F22" s="5" t="n">
        <v>0.6352276652818615</v>
      </c>
      <c r="G22" s="5" t="n">
        <v>0.5801165892985036</v>
      </c>
    </row>
    <row r="23">
      <c r="A23" s="6" t="inlineStr">
        <is>
          <t>PV(FCFF)(万元)</t>
        </is>
      </c>
      <c r="B23" s="7" t="n">
        <v>2662.100456621005</v>
      </c>
      <c r="C23" s="7" t="n">
        <v>2761.201809803799</v>
      </c>
      <c r="D23" s="7" t="n">
        <v>2932.190243233204</v>
      </c>
      <c r="E23" s="7" t="n">
        <v>3041.533730953076</v>
      </c>
      <c r="F23" s="7" t="n">
        <v>3010.318840163492</v>
      </c>
      <c r="G23" s="7" t="n">
        <v>3049.504093478188</v>
      </c>
    </row>
    <row r="25">
      <c r="A25" s="4" t="inlineStr">
        <is>
          <t>五、估值结果</t>
        </is>
      </c>
    </row>
    <row r="26">
      <c r="A26" s="3" t="inlineStr">
        <is>
          <t>PV(预测期FCFF)(万元)</t>
        </is>
      </c>
      <c r="B26" s="13" t="inlineStr">
        <is>
          <t>17,456.85</t>
        </is>
      </c>
    </row>
    <row r="27">
      <c r="A27" s="3" t="inlineStr">
        <is>
          <t>终值 TV(万元)</t>
        </is>
      </c>
      <c r="B27" s="13" t="inlineStr">
        <is>
          <t>71,491.24</t>
        </is>
      </c>
    </row>
    <row r="28">
      <c r="A28" s="3" t="inlineStr">
        <is>
          <t>PV(终值)(万元)</t>
        </is>
      </c>
      <c r="B28" s="13" t="inlineStr">
        <is>
          <t>41,473.26</t>
        </is>
      </c>
    </row>
    <row r="29">
      <c r="A29" s="3" t="inlineStr">
        <is>
          <t>终值占比</t>
        </is>
      </c>
      <c r="B29" s="13" t="inlineStr">
        <is>
          <t>70.4%</t>
        </is>
      </c>
    </row>
    <row r="30">
      <c r="A30" s="2" t="inlineStr">
        <is>
          <t>企业价值 EV(万元)</t>
        </is>
      </c>
      <c r="B30" s="14" t="inlineStr">
        <is>
          <t>58,930.10</t>
        </is>
      </c>
    </row>
    <row r="31">
      <c r="A31" s="3" t="inlineStr">
        <is>
          <t>+ 货币资金(万元)</t>
        </is>
      </c>
      <c r="B31" s="13" t="inlineStr">
        <is>
          <t>15,000.00</t>
        </is>
      </c>
    </row>
    <row r="32">
      <c r="A32" s="3" t="inlineStr">
        <is>
          <t>- 有息负债(万元)</t>
        </is>
      </c>
      <c r="B32" s="13" t="inlineStr">
        <is>
          <t>-160,000.00</t>
        </is>
      </c>
    </row>
    <row r="33">
      <c r="A33" s="3" t="inlineStr">
        <is>
          <t>- 少数股东权益(万元)</t>
        </is>
      </c>
      <c r="B33" s="13" t="inlineStr">
        <is>
          <t>-3,000.00</t>
        </is>
      </c>
    </row>
    <row r="34">
      <c r="A34" s="2">
        <f> 股权价值(万元)</f>
        <v/>
      </c>
      <c r="B34" s="14" t="inlineStr">
        <is>
          <t>-89,069.90</t>
        </is>
      </c>
    </row>
    <row r="35">
      <c r="A35" s="3" t="inlineStr">
        <is>
          <t>总股本(万股)</t>
        </is>
      </c>
      <c r="B35" s="13" t="inlineStr">
        <is>
          <t>173,000</t>
        </is>
      </c>
    </row>
    <row r="36">
      <c r="A36" s="2" t="inlineStr">
        <is>
          <t>每股价值(元)</t>
        </is>
      </c>
      <c r="B36" s="14" t="inlineStr">
        <is>
          <t>-0.51</t>
        </is>
      </c>
    </row>
  </sheetData>
  <mergeCells count="6">
    <mergeCell ref="A1:J1"/>
    <mergeCell ref="A12:J12"/>
    <mergeCell ref="A7:J7"/>
    <mergeCell ref="A20:J20"/>
    <mergeCell ref="A2:J2"/>
    <mergeCell ref="A25:J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某*ST企业 — M&amp;A 重大资产出售交易概览</t>
        </is>
      </c>
    </row>
    <row r="2">
      <c r="A2" s="2" t="inlineStr">
        <is>
          <t>公司名称</t>
        </is>
      </c>
      <c r="B2" s="3" t="inlineStr">
        <is>
          <t>某*ST企业</t>
        </is>
      </c>
    </row>
    <row r="3">
      <c r="A3" s="2" t="inlineStr">
        <is>
          <t>股票代码</t>
        </is>
      </c>
      <c r="B3" s="3" t="inlineStr">
        <is>
          <t>XXXXXX.SZ</t>
        </is>
      </c>
    </row>
    <row r="4">
      <c r="A4" s="2" t="inlineStr">
        <is>
          <t>估值基准日</t>
        </is>
      </c>
      <c r="B4" s="3" t="inlineStr">
        <is>
          <t>2024-12-31</t>
        </is>
      </c>
    </row>
    <row r="5">
      <c r="A5" s="2" t="inlineStr">
        <is>
          <t>基准年</t>
        </is>
      </c>
      <c r="B5" s="3" t="inlineStr">
        <is>
          <t>2024</t>
        </is>
      </c>
    </row>
    <row r="6">
      <c r="A6" s="2" t="inlineStr">
        <is>
          <t>预测期</t>
        </is>
      </c>
      <c r="B6" s="3" t="inlineStr">
        <is>
          <t>6年 (2025E - 2030E)</t>
        </is>
      </c>
    </row>
    <row r="7">
      <c r="A7" s="2" t="inlineStr">
        <is>
          <t>项目类型</t>
        </is>
      </c>
      <c r="B7" s="3" t="inlineStr">
        <is>
          <t>M&amp;A 重大资产出售交易概览</t>
        </is>
      </c>
    </row>
    <row r="9">
      <c r="A9" s="2" t="inlineStr">
        <is>
          <t>股份处理方式</t>
        </is>
      </c>
      <c r="B9" s="3" t="inlineStr">
        <is>
          <t>不适用</t>
        </is>
      </c>
    </row>
    <row r="10">
      <c r="A10" s="2" t="inlineStr">
        <is>
          <t>基准日总股本(万股)</t>
        </is>
      </c>
      <c r="B10" s="3" t="inlineStr">
        <is>
          <t>173,000</t>
        </is>
      </c>
    </row>
    <row r="11">
      <c r="A11" s="2" t="inlineStr">
        <is>
          <t>交易后总股本(万股)</t>
        </is>
      </c>
      <c r="B11" s="3" t="inlineStr">
        <is>
          <t>173,000（不变）</t>
        </is>
      </c>
    </row>
    <row r="13">
      <c r="A13" s="2" t="inlineStr">
        <is>
          <t>出售前归母权益(万元)</t>
        </is>
      </c>
      <c r="B13" s="3" t="inlineStr">
        <is>
          <t>-175,000</t>
        </is>
      </c>
    </row>
    <row r="14">
      <c r="A14" s="2" t="inlineStr">
        <is>
          <t>出售后备考归母权益(万元)</t>
        </is>
      </c>
      <c r="B14" s="3" t="inlineStr">
        <is>
          <t>49,000</t>
        </is>
      </c>
    </row>
    <row r="15">
      <c r="A15" s="2" t="inlineStr">
        <is>
          <t>DCF是否适用(出售前)</t>
        </is>
      </c>
      <c r="B15" s="3" t="inlineStr">
        <is>
          <t>不适用 ✗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某*ST企业 — 估值对比分析</t>
        </is>
      </c>
    </row>
    <row r="2">
      <c r="A2" s="4" t="inlineStr">
        <is>
          <t>出售前后关键指标对比</t>
        </is>
      </c>
    </row>
    <row r="3">
      <c r="A3" s="1" t="inlineStr">
        <is>
          <t>指标</t>
        </is>
      </c>
      <c r="B3" s="1" t="inlineStr">
        <is>
          <t>出售前</t>
        </is>
      </c>
      <c r="C3" s="1" t="inlineStr">
        <is>
          <t>出售后(备考)</t>
        </is>
      </c>
      <c r="D3" s="1" t="inlineStr">
        <is>
          <t>变化</t>
        </is>
      </c>
    </row>
    <row r="4">
      <c r="A4" s="12" t="inlineStr">
        <is>
          <t>归母权益(万元)</t>
        </is>
      </c>
      <c r="B4" s="11" t="n">
        <v>-175000</v>
      </c>
      <c r="C4" s="11" t="n">
        <v>49000</v>
      </c>
      <c r="D4" s="11" t="n">
        <v>224000</v>
      </c>
    </row>
    <row r="5">
      <c r="A5" s="12" t="inlineStr">
        <is>
          <t>DCF适用性</t>
        </is>
      </c>
      <c r="B5" s="12" t="inlineStr">
        <is>
          <t>不适用</t>
        </is>
      </c>
      <c r="C5" s="12" t="inlineStr">
        <is>
          <t>适用</t>
        </is>
      </c>
      <c r="D5" s="12" t="inlineStr">
        <is>
          <t>—</t>
        </is>
      </c>
    </row>
    <row r="6">
      <c r="A6" s="12" t="inlineStr">
        <is>
          <t>每股DCF(元)</t>
        </is>
      </c>
      <c r="B6" s="12" t="inlineStr">
        <is>
          <t>—</t>
        </is>
      </c>
      <c r="C6" s="12" t="inlineStr">
        <is>
          <t>-0.51</t>
        </is>
      </c>
      <c r="D6" s="12" t="inlineStr">
        <is>
          <t>—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某*ST企业 — 敏感性分析</t>
        </is>
      </c>
    </row>
    <row r="2">
      <c r="A2" s="4" t="inlineStr">
        <is>
          <t>WACC × g 敏感性矩阵 (每股价值, 元)</t>
        </is>
      </c>
    </row>
    <row r="3">
      <c r="A3" s="1" t="inlineStr"/>
      <c r="B3" s="1" t="inlineStr">
        <is>
          <t>g=1.0%</t>
        </is>
      </c>
      <c r="C3" s="1" t="inlineStr">
        <is>
          <t>g=1.5%</t>
        </is>
      </c>
      <c r="D3" s="1" t="inlineStr">
        <is>
          <t>g=2.0%</t>
        </is>
      </c>
      <c r="E3" s="1" t="inlineStr">
        <is>
          <t>g=2.5%</t>
        </is>
      </c>
      <c r="F3" s="1" t="inlineStr">
        <is>
          <t>g=3.0%</t>
        </is>
      </c>
    </row>
    <row r="4">
      <c r="A4" s="12" t="inlineStr">
        <is>
          <t>WACC=7.0%</t>
        </is>
      </c>
      <c r="B4" s="15" t="n">
        <v>0</v>
      </c>
      <c r="C4" s="15" t="n">
        <v>0</v>
      </c>
      <c r="D4" s="15" t="n">
        <v>0</v>
      </c>
      <c r="E4" s="15" t="n">
        <v>0</v>
      </c>
      <c r="F4" s="15" t="n">
        <v>0</v>
      </c>
    </row>
    <row r="5">
      <c r="A5" s="12" t="inlineStr">
        <is>
          <t>WACC=8.0%</t>
        </is>
      </c>
      <c r="B5" s="15" t="n">
        <v>0</v>
      </c>
      <c r="C5" s="15" t="n">
        <v>0</v>
      </c>
      <c r="D5" s="15" t="n">
        <v>0</v>
      </c>
      <c r="E5" s="15" t="n">
        <v>0</v>
      </c>
      <c r="F5" s="15" t="n">
        <v>0</v>
      </c>
    </row>
    <row r="6">
      <c r="A6" s="12" t="inlineStr">
        <is>
          <t>WACC=9.0%</t>
        </is>
      </c>
      <c r="B6" s="15" t="n">
        <v>0</v>
      </c>
      <c r="C6" s="15" t="n">
        <v>0</v>
      </c>
      <c r="D6" s="15" t="n">
        <v>0</v>
      </c>
      <c r="E6" s="15" t="n">
        <v>0</v>
      </c>
      <c r="F6" s="15" t="n">
        <v>0</v>
      </c>
    </row>
    <row r="7">
      <c r="A7" s="12" t="inlineStr">
        <is>
          <t>WACC=10.0%</t>
        </is>
      </c>
      <c r="B7" s="15" t="n">
        <v>0</v>
      </c>
      <c r="C7" s="15" t="n">
        <v>0</v>
      </c>
      <c r="D7" s="15" t="n">
        <v>0</v>
      </c>
      <c r="E7" s="15" t="n">
        <v>0</v>
      </c>
      <c r="F7" s="15" t="n">
        <v>0</v>
      </c>
    </row>
    <row r="8">
      <c r="A8" s="12" t="inlineStr">
        <is>
          <t>WACC=11.0%</t>
        </is>
      </c>
      <c r="B8" s="15" t="n">
        <v>0</v>
      </c>
      <c r="C8" s="15" t="n">
        <v>0</v>
      </c>
      <c r="D8" s="15" t="n">
        <v>0</v>
      </c>
      <c r="E8" s="15" t="n">
        <v>0</v>
      </c>
      <c r="F8" s="15" t="n">
        <v>0</v>
      </c>
    </row>
    <row r="9">
      <c r="A9" s="12" t="inlineStr">
        <is>
          <t>WACC=12.0%</t>
        </is>
      </c>
      <c r="B9" s="15" t="n">
        <v>0</v>
      </c>
      <c r="C9" s="15" t="n">
        <v>0</v>
      </c>
      <c r="D9" s="15" t="n">
        <v>0</v>
      </c>
      <c r="E9" s="15" t="n">
        <v>0</v>
      </c>
      <c r="F9" s="15" t="n">
        <v>0</v>
      </c>
    </row>
    <row r="10">
      <c r="A10" s="12" t="inlineStr">
        <is>
          <t>WACC=13.0%</t>
        </is>
      </c>
      <c r="B10" s="15" t="n">
        <v>0</v>
      </c>
      <c r="C10" s="15" t="n">
        <v>0</v>
      </c>
      <c r="D10" s="15" t="n">
        <v>0</v>
      </c>
      <c r="E10" s="15" t="n">
        <v>0</v>
      </c>
      <c r="F10" s="15" t="n">
        <v>0</v>
      </c>
    </row>
    <row r="12">
      <c r="A12" s="4" t="inlineStr">
        <is>
          <t>图例: 绿底红字=基准情景 | 绿色=高于基准 | 红色=低于基准</t>
        </is>
      </c>
    </row>
    <row r="13">
      <c r="A13" s="4" t="inlineStr">
        <is>
          <t>基准: WACC=9.50%, g=2.0% → 每股 -0.51元</t>
        </is>
      </c>
    </row>
    <row r="15">
      <c r="A15" s="4" t="inlineStr">
        <is>
          <t>敏感性提示</t>
        </is>
      </c>
    </row>
    <row r="16">
      <c r="A16" s="3" t="inlineStr">
        <is>
          <t>WACC +1% → 每股约 -0.46 元</t>
        </is>
      </c>
    </row>
    <row r="17">
      <c r="A17" s="3" t="inlineStr">
        <is>
          <t>WACC -1% → 每股约 -0.59 元</t>
        </is>
      </c>
    </row>
    <row r="18">
      <c r="A18" s="3" t="inlineStr">
        <is>
          <t>g +0.5% → 每股约 -0.57 元</t>
        </is>
      </c>
    </row>
  </sheetData>
  <mergeCells count="5">
    <mergeCell ref="A1:J1"/>
    <mergeCell ref="A15:J15"/>
    <mergeCell ref="A12:J12"/>
    <mergeCell ref="A2:J2"/>
    <mergeCell ref="A13:J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某*ST企业 — 关键假设清单</t>
        </is>
      </c>
    </row>
    <row r="2">
      <c r="A2" s="4" t="inlineStr">
        <is>
          <t>建模完成后强制输出（SKILL.md §13.1）</t>
        </is>
      </c>
    </row>
    <row r="3">
      <c r="A3" s="1" t="inlineStr">
        <is>
          <t>假设项</t>
        </is>
      </c>
      <c r="B3" s="1" t="inlineStr">
        <is>
          <t>本次取值</t>
        </is>
      </c>
      <c r="C3" s="1" t="inlineStr">
        <is>
          <t>依据来源</t>
        </is>
      </c>
      <c r="D3" s="1" t="inlineStr">
        <is>
          <t>调整方法</t>
        </is>
      </c>
    </row>
    <row r="4">
      <c r="A4" s="2" t="inlineStr">
        <is>
          <t>基准年收入增速</t>
        </is>
      </c>
      <c r="B4" s="12" t="inlineStr">
        <is>
          <t>5.0%</t>
        </is>
      </c>
      <c r="C4" s="3" t="inlineStr">
        <is>
          <t>Wind行业中位/历史CAGR</t>
        </is>
      </c>
      <c r="D4" s="3" t="inlineStr">
        <is>
          <t>修改 growth_rates[1]</t>
        </is>
      </c>
    </row>
    <row r="5">
      <c r="A5" s="2" t="inlineStr">
        <is>
          <t>远期增速路径</t>
        </is>
      </c>
      <c r="B5" s="12" t="inlineStr">
        <is>
          <t>5.0% → 5.0% → 4.0% → 3.0% → 3.0% → 2.0%</t>
        </is>
      </c>
      <c r="C5" s="3" t="inlineStr">
        <is>
          <t>行业趋势判断</t>
        </is>
      </c>
      <c r="D5" s="3" t="inlineStr">
        <is>
          <t>修改 growth_rates 数组</t>
        </is>
      </c>
    </row>
    <row r="6">
      <c r="A6" s="2" t="inlineStr">
        <is>
          <t>EBIT利润率</t>
        </is>
      </c>
      <c r="B6" s="12" t="inlineStr">
        <is>
          <t>8.0%</t>
        </is>
      </c>
      <c r="C6" s="3" t="inlineStr">
        <is>
          <t>近2年平均</t>
        </is>
      </c>
      <c r="D6" s="3" t="inlineStr">
        <is>
          <t>修改 ebit_margin</t>
        </is>
      </c>
    </row>
    <row r="7">
      <c r="A7" s="2" t="inlineStr">
        <is>
          <t>βU（可比均值）</t>
        </is>
      </c>
      <c r="B7" s="12" t="inlineStr">
        <is>
          <t>0.9100</t>
        </is>
      </c>
      <c r="C7" s="3" t="inlineStr">
        <is>
          <t>Wind 5家月频均值</t>
        </is>
      </c>
      <c r="D7" s="3" t="inlineStr">
        <is>
          <t>修改 bu_avg 或重拉Wind</t>
        </is>
      </c>
    </row>
    <row r="8">
      <c r="A8" s="2" t="inlineStr">
        <is>
          <t>有息负债 D/E</t>
        </is>
      </c>
      <c r="B8" s="12" t="inlineStr">
        <is>
          <t>9248.6%</t>
        </is>
      </c>
      <c r="C8" s="3" t="inlineStr">
        <is>
          <t>最近一期账面</t>
        </is>
      </c>
      <c r="D8" s="3" t="inlineStr">
        <is>
          <t>修改 debt/equity</t>
        </is>
      </c>
    </row>
    <row r="9">
      <c r="A9" s="2" t="inlineStr">
        <is>
          <t>WACC（独立/合并）</t>
        </is>
      </c>
      <c r="B9" s="12" t="inlineStr">
        <is>
          <t>9.50% / 9.50%</t>
        </is>
      </c>
      <c r="C9" s="3" t="inlineStr">
        <is>
          <t>计算值</t>
        </is>
      </c>
      <c r="D9" s="3" t="inlineStr">
        <is>
          <t>改βU/Rf/MRP/风险溢价</t>
        </is>
      </c>
    </row>
    <row r="10">
      <c r="A10" s="2" t="inlineStr">
        <is>
          <t>永续增长率 g</t>
        </is>
      </c>
      <c r="B10" s="12" t="inlineStr">
        <is>
          <t>2.0%</t>
        </is>
      </c>
      <c r="C10" s="3" t="inlineStr">
        <is>
          <t>标准假设</t>
        </is>
      </c>
      <c r="D10" s="3" t="inlineStr">
        <is>
          <t>修改 terminal_g</t>
        </is>
      </c>
    </row>
    <row r="11">
      <c r="A11" s="2" t="inlineStr">
        <is>
          <t>CAPEX（维持/年）</t>
        </is>
      </c>
      <c r="B11" s="12" t="inlineStr">
        <is>
          <t>5,000万</t>
        </is>
      </c>
      <c r="C11" s="3" t="inlineStr">
        <is>
          <t>实际历史值</t>
        </is>
      </c>
      <c r="D11" s="3" t="inlineStr">
        <is>
          <t>修改 capex_actual</t>
        </is>
      </c>
    </row>
    <row r="12">
      <c r="A12" s="2" t="inlineStr">
        <is>
          <t>D&amp;A起点</t>
        </is>
      </c>
      <c r="B12" s="12" t="inlineStr">
        <is>
          <t>3,500万</t>
        </is>
      </c>
      <c r="C12" s="3" t="inlineStr">
        <is>
          <t>财报补充资料</t>
        </is>
      </c>
      <c r="D12" s="3" t="inlineStr">
        <is>
          <t>修改 da_total</t>
        </is>
      </c>
    </row>
    <row r="13">
      <c r="A13" s="2" t="inlineStr">
        <is>
          <t>独立股数（万股）</t>
        </is>
      </c>
      <c r="B13" s="12" t="inlineStr">
        <is>
          <t>173,000</t>
        </is>
      </c>
      <c r="C13" s="3" t="inlineStr">
        <is>
          <t>估值基准日总股本</t>
        </is>
      </c>
      <c r="D13" s="3" t="inlineStr">
        <is>
          <t>修改 shares_base</t>
        </is>
      </c>
    </row>
    <row r="14">
      <c r="A14" s="2" t="inlineStr">
        <is>
          <t>合并股数（万股）</t>
        </is>
      </c>
      <c r="B14" s="12" t="inlineStr">
        <is>
          <t>173,000</t>
        </is>
      </c>
      <c r="C14" s="3" t="inlineStr">
        <is>
          <t>不变</t>
        </is>
      </c>
      <c r="D14" s="3" t="inlineStr">
        <is>
          <t>修改 shares_post</t>
        </is>
      </c>
    </row>
    <row r="15">
      <c r="A15" s="2" t="inlineStr">
        <is>
          <t>发行方式</t>
        </is>
      </c>
      <c r="B15" s="12" t="inlineStr">
        <is>
          <t>不适用</t>
        </is>
      </c>
      <c r="C15" s="3" t="inlineStr">
        <is>
          <t>—</t>
        </is>
      </c>
      <c r="D15" s="3" t="inlineStr">
        <is>
          <t>—</t>
        </is>
      </c>
    </row>
    <row r="17">
      <c r="A17" s="4" t="inlineStr">
        <is>
          <t>出售项目额外假设</t>
        </is>
      </c>
    </row>
    <row r="18">
      <c r="A18" s="1" t="inlineStr">
        <is>
          <t>假设项</t>
        </is>
      </c>
      <c r="B18" s="1" t="inlineStr">
        <is>
          <t>本次取值</t>
        </is>
      </c>
      <c r="C18" s="1" t="inlineStr">
        <is>
          <t>依据来源</t>
        </is>
      </c>
      <c r="D18" s="1" t="inlineStr">
        <is>
          <t>调整方法</t>
        </is>
      </c>
    </row>
    <row r="19">
      <c r="A19" s="2" t="inlineStr">
        <is>
          <t>投资收益是否纳入FCFF</t>
        </is>
      </c>
      <c r="B19" s="12" t="inlineStr">
        <is>
          <t>否 (=0)</t>
        </is>
      </c>
      <c r="C19" s="3" t="inlineStr">
        <is>
          <t>扣非原则</t>
        </is>
      </c>
      <c r="D19" s="3" t="inlineStr">
        <is>
          <t>修改 investment_income</t>
        </is>
      </c>
    </row>
    <row r="20">
      <c r="A20" s="2" t="inlineStr">
        <is>
          <t>扣非归母净利润(基准)</t>
        </is>
      </c>
      <c r="B20" s="12" t="inlineStr">
        <is>
          <t>6,200万</t>
        </is>
      </c>
      <c r="C20" s="3" t="inlineStr">
        <is>
          <t>备考扣非披露</t>
        </is>
      </c>
      <c r="D20" s="3" t="inlineStr">
        <is>
          <t>修改 base_nopat</t>
        </is>
      </c>
    </row>
    <row r="21">
      <c r="A21" s="2" t="inlineStr">
        <is>
          <t>备考有息负债(出售后)</t>
        </is>
      </c>
      <c r="B21" s="12" t="inlineStr">
        <is>
          <t>160,000万</t>
        </is>
      </c>
      <c r="C21" s="3" t="inlineStr">
        <is>
          <t>备考资产负债表</t>
        </is>
      </c>
      <c r="D21" s="3" t="inlineStr">
        <is>
          <t>修改 debt_post</t>
        </is>
      </c>
    </row>
    <row r="23">
      <c r="A23" s="4" t="inlineStr">
        <is>
          <t>敏感性提示 (SKILL.md §13.2)</t>
        </is>
      </c>
    </row>
    <row r="24">
      <c r="A24" s="3" t="inlineStr">
        <is>
          <t xml:space="preserve">终值占比: 70.4% </t>
        </is>
      </c>
    </row>
    <row r="25">
      <c r="A25" s="3" t="inlineStr">
        <is>
          <t>WACC +1% → 每股约 -0.46 元</t>
        </is>
      </c>
    </row>
    <row r="26">
      <c r="A26" s="3" t="inlineStr">
        <is>
          <t>WACC -1% → 每股约 -0.59 元</t>
        </is>
      </c>
    </row>
    <row r="27">
      <c r="A27" s="3" t="inlineStr">
        <is>
          <t>g +0.5% → 每股约 -0.57 元</t>
        </is>
      </c>
    </row>
    <row r="29">
      <c r="A29" s="4" t="inlineStr">
        <is>
          <t>待验证/风险提示 (SKILL.md §13.3)</t>
        </is>
      </c>
    </row>
    <row r="30">
      <c r="A30" s="3" t="inlineStr">
        <is>
          <t>1. βU来源于月频数据，可能偏低，建议获取日频β交叉验证</t>
        </is>
      </c>
    </row>
    <row r="31">
      <c r="A31" s="3" t="inlineStr">
        <is>
          <t>2. 募投达产时间基于在建工程进度推算，实际可能因验收/调试延迟</t>
        </is>
      </c>
    </row>
    <row r="32">
      <c r="A32" s="3" t="inlineStr">
        <is>
          <t>3. 基准日距今已超过一定时间，行业环境可能变化</t>
        </is>
      </c>
    </row>
    <row r="33">
      <c r="A33" s="3" t="inlineStr">
        <is>
          <t>4. 建议关注 WACC ±1% 区间对估值的影响</t>
        </is>
      </c>
    </row>
  </sheetData>
  <mergeCells count="5">
    <mergeCell ref="A1:J1"/>
    <mergeCell ref="A23:J23"/>
    <mergeCell ref="A17:J17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2026-05-29T02:48:21Z</dcterms:created>
  <dcterms:modified xmlns:dcterms="http://purl.org/dc/terms/" xmlns:xsi="http://www.w3.org/2001/XMLSchema-instance" xsi:type="dcterms:W3CDTF">2026-05-29T02:48:21Z</dcterms:modified>
</cp:coreProperties>
</file>