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参数汇总" sheetId="1" state="visible" r:id="rId1"/>
    <sheet xmlns:r="http://schemas.openxmlformats.org/officeDocument/2006/relationships" name="2-持股比例摊薄" sheetId="2" state="visible" r:id="rId2"/>
    <sheet xmlns:r="http://schemas.openxmlformats.org/officeDocument/2006/relationships" name="3-BPS变化" sheetId="3" state="visible" r:id="rId3"/>
    <sheet xmlns:r="http://schemas.openxmlformats.org/officeDocument/2006/relationships" name="4-EPS摊薄" sheetId="4" state="visible" r:id="rId4"/>
    <sheet xmlns:r="http://schemas.openxmlformats.org/officeDocument/2006/relationships" name="5-利息节约" sheetId="5" state="visible" r:id="rId5"/>
    <sheet xmlns:r="http://schemas.openxmlformats.org/officeDocument/2006/relationships" name="6-ProForma资产负债表" sheetId="6" state="visible" r:id="rId6"/>
    <sheet xmlns:r="http://schemas.openxmlformats.org/officeDocument/2006/relationships" name="7-综合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参数汇总 — 发行方案与核心财务数据</t>
        </is>
      </c>
    </row>
    <row r="2">
      <c r="A2" s="2" t="inlineStr">
        <is>
          <t>参数项</t>
        </is>
      </c>
      <c r="B2" s="2" t="inlineStr">
        <is>
          <t>取值</t>
        </is>
      </c>
      <c r="C2" s="2" t="inlineStr">
        <is>
          <t>单位</t>
        </is>
      </c>
      <c r="D2" s="2" t="inlineStr">
        <is>
          <t>数据来源</t>
        </is>
      </c>
      <c r="E2" s="2" t="inlineStr">
        <is>
          <t>备注</t>
        </is>
      </c>
    </row>
    <row r="3">
      <c r="A3" s="3" t="inlineStr">
        <is>
          <t>发行前总股本</t>
        </is>
      </c>
      <c r="B3" s="3" t="inlineStr"/>
      <c r="C3" s="3" t="inlineStr">
        <is>
          <t>万股</t>
        </is>
      </c>
      <c r="D3" s="3" t="inlineStr">
        <is>
          <t>募集说明书·股权结构</t>
        </is>
      </c>
      <c r="E3" s="3" t="inlineStr"/>
    </row>
    <row r="4">
      <c r="A4" s="3" t="inlineStr">
        <is>
          <t>发行数量上限</t>
        </is>
      </c>
      <c r="B4" s="3" t="inlineStr"/>
      <c r="C4" s="3" t="inlineStr">
        <is>
          <t>万股</t>
        </is>
      </c>
      <c r="D4" s="3" t="inlineStr">
        <is>
          <t>募集说明书·发行方案</t>
        </is>
      </c>
      <c r="E4" s="3" t="inlineStr">
        <is>
          <t>≤总股本30%</t>
        </is>
      </c>
    </row>
    <row r="5">
      <c r="A5" s="3" t="inlineStr">
        <is>
          <t>发行价格(底价)</t>
        </is>
      </c>
      <c r="B5" s="3" t="inlineStr"/>
      <c r="C5" s="3" t="inlineStr">
        <is>
          <t>元/股</t>
        </is>
      </c>
      <c r="D5" s="3" t="inlineStr">
        <is>
          <t>募集说明书</t>
        </is>
      </c>
      <c r="E5" s="3" t="inlineStr"/>
    </row>
    <row r="6">
      <c r="A6" s="3" t="inlineStr">
        <is>
          <t>募集资金总额(上限)</t>
        </is>
      </c>
      <c r="B6" s="3" t="inlineStr"/>
      <c r="C6" s="3" t="inlineStr">
        <is>
          <t>万元</t>
        </is>
      </c>
      <c r="D6" s="3" t="inlineStr">
        <is>
          <t>计算=数量×价格</t>
        </is>
      </c>
      <c r="E6" s="3" t="inlineStr"/>
    </row>
    <row r="7">
      <c r="A7" s="3" t="inlineStr">
        <is>
          <t>募集资金净额</t>
        </is>
      </c>
      <c r="B7" s="3" t="inlineStr"/>
      <c r="C7" s="3" t="inlineStr">
        <is>
          <t>万元</t>
        </is>
      </c>
      <c r="D7" s="3" t="inlineStr">
        <is>
          <t>募集说明书</t>
        </is>
      </c>
      <c r="E7" s="3" t="inlineStr">
        <is>
          <t>扣除发行费用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>
        <is>
          <t>归母净资产(发行前)</t>
        </is>
      </c>
      <c r="B9" s="3" t="inlineStr"/>
      <c r="C9" s="3" t="inlineStr">
        <is>
          <t>万元</t>
        </is>
      </c>
      <c r="D9" s="3" t="inlineStr">
        <is>
          <t>审计报告/募集说明书</t>
        </is>
      </c>
      <c r="E9" s="3" t="inlineStr"/>
    </row>
    <row r="10">
      <c r="A10" s="3" t="inlineStr">
        <is>
          <t>每股净资产BPS(发行前)</t>
        </is>
      </c>
      <c r="B10" s="3" t="inlineStr"/>
      <c r="C10" s="3" t="inlineStr">
        <is>
          <t>元/股</t>
        </is>
      </c>
      <c r="D10" s="3" t="inlineStr">
        <is>
          <t>计算=归母净资产/总股本</t>
        </is>
      </c>
      <c r="E10" s="3" t="inlineStr"/>
    </row>
    <row r="11">
      <c r="A11" s="3" t="inlineStr">
        <is>
          <t>资产负债率</t>
        </is>
      </c>
      <c r="B11" s="3" t="inlineStr"/>
      <c r="C11" s="3" t="inlineStr">
        <is>
          <t>%</t>
        </is>
      </c>
      <c r="D11" s="3" t="inlineStr">
        <is>
          <t>募集说明书</t>
        </is>
      </c>
      <c r="E11" s="3" t="inlineStr"/>
    </row>
    <row r="12">
      <c r="A12" s="3" t="inlineStr">
        <is>
          <t>有息负债(发行前)</t>
        </is>
      </c>
      <c r="B12" s="3" t="inlineStr"/>
      <c r="C12" s="3" t="inlineStr">
        <is>
          <t>万元</t>
        </is>
      </c>
      <c r="D12" s="3" t="inlineStr">
        <is>
          <t>审计报告</t>
        </is>
      </c>
      <c r="E12" s="3" t="inlineStr">
        <is>
          <t>短期+长期+一年内到期</t>
        </is>
      </c>
    </row>
    <row r="13">
      <c r="A13" s="3" t="inlineStr">
        <is>
          <t>利息支出(年)</t>
        </is>
      </c>
      <c r="B13" s="3" t="inlineStr"/>
      <c r="C13" s="3" t="inlineStr">
        <is>
          <t>万元</t>
        </is>
      </c>
      <c r="D13" s="3" t="inlineStr">
        <is>
          <t>审计报告附注</t>
        </is>
      </c>
      <c r="E13" s="3" t="inlineStr"/>
    </row>
    <row r="14">
      <c r="A14" s="3" t="inlineStr">
        <is>
          <t>平均借款利率</t>
        </is>
      </c>
      <c r="B14" s="3" t="inlineStr"/>
      <c r="C14" s="3" t="inlineStr">
        <is>
          <t>%</t>
        </is>
      </c>
      <c r="D14" s="3" t="inlineStr">
        <is>
          <t>计算或募集说明书</t>
        </is>
      </c>
      <c r="E14" s="3" t="inlineStr"/>
    </row>
    <row r="15">
      <c r="A15" s="3" t="inlineStr">
        <is>
          <t>有效所得税率</t>
        </is>
      </c>
      <c r="B15" s="3" t="inlineStr"/>
      <c r="C15" s="3" t="inlineStr">
        <is>
          <t>%</t>
        </is>
      </c>
      <c r="D15" s="3" t="inlineStr">
        <is>
          <t>最近一年实际</t>
        </is>
      </c>
      <c r="E15" s="3" t="inlineStr">
        <is>
          <t>所得税/利润总额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持股比例摊薄分析</t>
        </is>
      </c>
    </row>
    <row r="2">
      <c r="A2" s="2" t="inlineStr">
        <is>
          <t>项目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备注</t>
        </is>
      </c>
    </row>
    <row r="3">
      <c r="A3" s="3" t="inlineStr">
        <is>
          <t>总股本(万股)</t>
        </is>
      </c>
      <c r="B3" s="3" t="inlineStr"/>
      <c r="C3" s="3" t="inlineStr"/>
      <c r="D3" s="3" t="inlineStr"/>
      <c r="E3" s="3" t="inlineStr"/>
    </row>
    <row r="4">
      <c r="A4" s="3" t="inlineStr">
        <is>
          <t>新增股本(万股)</t>
        </is>
      </c>
      <c r="B4" s="3" t="inlineStr"/>
      <c r="C4" s="3" t="inlineStr"/>
      <c r="D4" s="3" t="inlineStr"/>
      <c r="E4" s="3" t="inlineStr"/>
    </row>
    <row r="5">
      <c r="A5" s="3" t="inlineStr">
        <is>
          <t>稀释率</t>
        </is>
      </c>
      <c r="B5" s="3" t="inlineStr"/>
      <c r="C5" s="3" t="inlineStr"/>
      <c r="D5" s="3" t="inlineStr"/>
      <c r="E5" s="3">
        <f>新增/发行后</f>
        <v/>
      </c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>
        <is>
          <t>【具体持股方1】持股(万股)</t>
        </is>
      </c>
      <c r="B7" s="3" t="inlineStr"/>
      <c r="C7" s="3" t="inlineStr"/>
      <c r="D7" s="3" t="inlineStr"/>
      <c r="E7" s="3" t="inlineStr"/>
    </row>
    <row r="8">
      <c r="A8" s="3" t="inlineStr">
        <is>
          <t xml:space="preserve">  持股比例</t>
        </is>
      </c>
      <c r="B8" s="3" t="inlineStr"/>
      <c r="C8" s="3" t="inlineStr"/>
      <c r="D8" s="3" t="inlineStr"/>
      <c r="E8" s="3" t="inlineStr"/>
    </row>
    <row r="9">
      <c r="A9" s="3" t="inlineStr">
        <is>
          <t>【具体持股方2】持股(万股)</t>
        </is>
      </c>
      <c r="B9" s="3" t="inlineStr"/>
      <c r="C9" s="3" t="inlineStr"/>
      <c r="D9" s="3" t="inlineStr"/>
      <c r="E9" s="3" t="inlineStr"/>
    </row>
    <row r="10">
      <c r="A10" s="3" t="inlineStr">
        <is>
          <t xml:space="preserve">  持股比例</t>
        </is>
      </c>
      <c r="B10" s="3" t="inlineStr"/>
      <c r="C10" s="3" t="inlineStr"/>
      <c r="D10" s="3" t="inlineStr"/>
      <c r="E10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每股净资产(BPS)变化分析</t>
        </is>
      </c>
    </row>
    <row r="2">
      <c r="A2" s="2" t="inlineStr">
        <is>
          <t>项目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备注</t>
        </is>
      </c>
    </row>
    <row r="3">
      <c r="A3" s="3" t="inlineStr">
        <is>
          <t>归母净资产(万元)</t>
        </is>
      </c>
      <c r="B3" s="3" t="inlineStr"/>
      <c r="C3" s="3" t="inlineStr"/>
      <c r="D3" s="3" t="inlineStr"/>
      <c r="E3" s="3" t="inlineStr"/>
    </row>
    <row r="4">
      <c r="A4" s="3" t="inlineStr">
        <is>
          <t>募集资金净额(万元)</t>
        </is>
      </c>
      <c r="B4" s="3" t="inlineStr"/>
      <c r="C4" s="3" t="inlineStr"/>
      <c r="D4" s="3" t="inlineStr"/>
      <c r="E4" s="3" t="inlineStr"/>
    </row>
    <row r="5">
      <c r="A5" s="3" t="inlineStr">
        <is>
          <t>总股本(万股)</t>
        </is>
      </c>
      <c r="B5" s="3" t="inlineStr"/>
      <c r="C5" s="3" t="inlineStr"/>
      <c r="D5" s="3" t="inlineStr"/>
      <c r="E5" s="3" t="inlineStr"/>
    </row>
    <row r="6">
      <c r="A6" s="3" t="inlineStr">
        <is>
          <t>BPS(元/股)</t>
        </is>
      </c>
      <c r="B6" s="3" t="inlineStr"/>
      <c r="C6" s="3" t="inlineStr"/>
      <c r="D6" s="3" t="inlineStr"/>
      <c r="E6" s="3">
        <f>归母净资产/总股本</f>
        <v/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发行价 vs BPS前</t>
        </is>
      </c>
      <c r="B8" s="3" t="inlineStr"/>
      <c r="C8" s="3" t="inlineStr"/>
      <c r="D8" s="3" t="inlineStr"/>
      <c r="E8" s="3" t="inlineStr"/>
    </row>
    <row r="9">
      <c r="A9" s="3" t="inlineStr">
        <is>
          <t>结论：增厚/摊薄？</t>
        </is>
      </c>
      <c r="B9" s="3" t="inlineStr"/>
      <c r="C9" s="3" t="inlineStr"/>
      <c r="D9" s="3" t="inlineStr"/>
      <c r="E9" s="3" t="inlineStr">
        <is>
          <t>发行价&gt;BPS前→增厚(老股东受益)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EPS摊薄分析 — 三情景</t>
        </is>
      </c>
    </row>
    <row r="2">
      <c r="A2" s="2" t="inlineStr">
        <is>
          <t>项目</t>
        </is>
      </c>
      <c r="B2" s="2" t="inlineStr">
        <is>
          <t>悲观情景</t>
        </is>
      </c>
      <c r="C2" s="2" t="inlineStr">
        <is>
          <t>基准情景</t>
        </is>
      </c>
      <c r="D2" s="2" t="inlineStr">
        <is>
          <t>乐观情景</t>
        </is>
      </c>
      <c r="E2" s="2" t="inlineStr">
        <is>
          <t>备注</t>
        </is>
      </c>
    </row>
    <row r="3">
      <c r="A3" s="3" t="inlineStr">
        <is>
          <t>归母净利润假设(万元)</t>
        </is>
      </c>
      <c r="B3" s="3" t="inlineStr"/>
      <c r="C3" s="3" t="inlineStr"/>
      <c r="D3" s="3" t="inlineStr"/>
      <c r="E3" s="3" t="inlineStr"/>
    </row>
    <row r="4">
      <c r="A4" s="3" t="inlineStr">
        <is>
          <t>总估值(万元)</t>
        </is>
      </c>
      <c r="B4" s="3" t="inlineStr"/>
      <c r="C4" s="3" t="inlineStr"/>
      <c r="D4" s="3" t="inlineStr"/>
      <c r="E4" s="3" t="inlineStr">
        <is>
          <t>P/E法或DCF</t>
        </is>
      </c>
    </row>
    <row r="5">
      <c r="A5" s="3" t="inlineStr">
        <is>
          <t>发行后总股本(万股)</t>
        </is>
      </c>
      <c r="B5" s="3" t="inlineStr"/>
      <c r="C5" s="3" t="inlineStr"/>
      <c r="D5" s="3" t="inlineStr"/>
      <c r="E5" s="3" t="inlineStr"/>
    </row>
    <row r="6">
      <c r="A6" s="3" t="inlineStr">
        <is>
          <t>EPS(元/股)</t>
        </is>
      </c>
      <c r="B6" s="3" t="inlineStr"/>
      <c r="C6" s="3" t="inlineStr"/>
      <c r="D6" s="3" t="inlineStr"/>
      <c r="E6" s="3">
        <f>净利润/总股本</f>
        <v/>
      </c>
    </row>
    <row r="7">
      <c r="A7" s="3" t="inlineStr">
        <is>
          <t>每股内在价值(元/股)</t>
        </is>
      </c>
      <c r="B7" s="3" t="inlineStr"/>
      <c r="C7" s="3" t="inlineStr"/>
      <c r="D7" s="3" t="inlineStr"/>
      <c r="E7" s="3">
        <f>总估值/总股本</f>
        <v/>
      </c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>
        <is>
          <t>发行价</t>
        </is>
      </c>
      <c r="B9" s="3" t="inlineStr"/>
      <c r="C9" s="3" t="inlineStr"/>
      <c r="D9" s="3" t="inlineStr"/>
      <c r="E9" s="3" t="inlineStr"/>
    </row>
    <row r="10">
      <c r="A10" s="3" t="inlineStr">
        <is>
          <t>发行价 vs EPS</t>
        </is>
      </c>
      <c r="B10" s="3" t="inlineStr"/>
      <c r="C10" s="3" t="inlineStr"/>
      <c r="D10" s="3" t="inlineStr"/>
      <c r="E10" s="3" t="inlineStr"/>
    </row>
    <row r="11">
      <c r="A11" s="3" t="inlineStr">
        <is>
          <t>发行价 vs 内在价值</t>
        </is>
      </c>
      <c r="B11" s="3" t="inlineStr"/>
      <c r="C11" s="3" t="inlineStr"/>
      <c r="D11" s="3" t="inlineStr"/>
      <c r="E11" s="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利息节约测算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备注</t>
        </is>
      </c>
    </row>
    <row r="3">
      <c r="A3" s="3" t="inlineStr">
        <is>
          <t>募集资金净额</t>
        </is>
      </c>
      <c r="B3" s="3" t="inlineStr"/>
      <c r="C3" s="3" t="inlineStr">
        <is>
          <t>万元</t>
        </is>
      </c>
      <c r="D3" s="3" t="inlineStr"/>
    </row>
    <row r="4">
      <c r="A4" s="3" t="inlineStr">
        <is>
          <t>其中补流部分</t>
        </is>
      </c>
      <c r="B4" s="3" t="inlineStr"/>
      <c r="C4" s="3" t="inlineStr">
        <is>
          <t>万元</t>
        </is>
      </c>
      <c r="D4" s="3" t="inlineStr"/>
    </row>
    <row r="5">
      <c r="A5" s="3" t="inlineStr">
        <is>
          <t>拟偿还借款金额</t>
        </is>
      </c>
      <c r="B5" s="3" t="inlineStr"/>
      <c r="C5" s="3" t="inlineStr">
        <is>
          <t>万元</t>
        </is>
      </c>
      <c r="D5" s="3" t="inlineStr"/>
    </row>
    <row r="6">
      <c r="A6" s="3" t="inlineStr">
        <is>
          <t>平均借款利率</t>
        </is>
      </c>
      <c r="B6" s="3" t="inlineStr"/>
      <c r="C6" s="3" t="inlineStr">
        <is>
          <t>%</t>
        </is>
      </c>
      <c r="D6" s="3" t="inlineStr"/>
    </row>
    <row r="7">
      <c r="A7" s="3" t="inlineStr">
        <is>
          <t>税前利息节约</t>
        </is>
      </c>
      <c r="B7" s="3" t="inlineStr"/>
      <c r="C7" s="3" t="inlineStr">
        <is>
          <t>万元/年</t>
        </is>
      </c>
      <c r="D7" s="3">
        <f>偿还金额×利率</f>
        <v/>
      </c>
    </row>
    <row r="8">
      <c r="A8" s="3" t="inlineStr">
        <is>
          <t>所得税率</t>
        </is>
      </c>
      <c r="B8" s="3" t="inlineStr"/>
      <c r="C8" s="3" t="inlineStr">
        <is>
          <t>%</t>
        </is>
      </c>
      <c r="D8" s="3" t="inlineStr"/>
    </row>
    <row r="9">
      <c r="A9" s="3" t="inlineStr">
        <is>
          <t>税后利息节约</t>
        </is>
      </c>
      <c r="B9" s="3" t="inlineStr"/>
      <c r="C9" s="3" t="inlineStr">
        <is>
          <t>万元/年</t>
        </is>
      </c>
      <c r="D9" s="3">
        <f>税前×(1-T)</f>
        <v/>
      </c>
    </row>
    <row r="10">
      <c r="A10" s="3" t="inlineStr"/>
      <c r="B10" s="3" t="inlineStr"/>
      <c r="C10" s="3" t="inlineStr"/>
      <c r="D10" s="3" t="inlineStr"/>
    </row>
    <row r="11">
      <c r="A11" s="3" t="inlineStr">
        <is>
          <t>利润改善幅度</t>
        </is>
      </c>
      <c r="B11" s="3" t="inlineStr"/>
      <c r="C11" s="3" t="inlineStr">
        <is>
          <t>%</t>
        </is>
      </c>
      <c r="D11" s="3">
        <f>税后节约/税前利润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Pro Forma 合并资产负债表(发行前后对比)</t>
        </is>
      </c>
    </row>
    <row r="2">
      <c r="A2" s="2" t="inlineStr">
        <is>
          <t>项目</t>
        </is>
      </c>
      <c r="B2" s="2" t="inlineStr">
        <is>
          <t>发行前(万元)</t>
        </is>
      </c>
      <c r="C2" s="2" t="inlineStr">
        <is>
          <t>发行调整(万元)</t>
        </is>
      </c>
      <c r="D2" s="2" t="inlineStr">
        <is>
          <t>发行后(万元)</t>
        </is>
      </c>
      <c r="E2" s="2" t="inlineStr">
        <is>
          <t>备注</t>
        </is>
      </c>
    </row>
    <row r="3">
      <c r="A3" s="3" t="inlineStr">
        <is>
          <t>资产</t>
        </is>
      </c>
      <c r="B3" s="3" t="inlineStr"/>
      <c r="C3" s="3" t="inlineStr"/>
      <c r="D3" s="3" t="inlineStr"/>
      <c r="E3" s="3" t="inlineStr"/>
    </row>
    <row r="4">
      <c r="A4" s="3" t="inlineStr">
        <is>
          <t xml:space="preserve">  货币资金</t>
        </is>
      </c>
      <c r="B4" s="3" t="inlineStr"/>
      <c r="C4" s="3" t="inlineStr"/>
      <c r="D4" s="3">
        <f>前+募资净额</f>
        <v/>
      </c>
      <c r="E4" s="3" t="inlineStr"/>
    </row>
    <row r="5">
      <c r="A5" s="3" t="inlineStr">
        <is>
          <t xml:space="preserve">  应收账款(含票据)</t>
        </is>
      </c>
      <c r="B5" s="3" t="inlineStr"/>
      <c r="C5" s="3" t="inlineStr"/>
      <c r="D5" s="3" t="inlineStr"/>
      <c r="E5" s="3" t="inlineStr"/>
    </row>
    <row r="6">
      <c r="A6" s="3" t="inlineStr">
        <is>
          <t xml:space="preserve">  存货</t>
        </is>
      </c>
      <c r="B6" s="3" t="inlineStr"/>
      <c r="C6" s="3" t="inlineStr"/>
      <c r="D6" s="3" t="inlineStr"/>
      <c r="E6" s="3" t="inlineStr"/>
    </row>
    <row r="7">
      <c r="A7" s="3" t="inlineStr">
        <is>
          <t xml:space="preserve">  固定资产</t>
        </is>
      </c>
      <c r="B7" s="3" t="inlineStr"/>
      <c r="C7" s="3" t="inlineStr"/>
      <c r="D7" s="3" t="inlineStr"/>
      <c r="E7" s="3" t="inlineStr"/>
    </row>
    <row r="8">
      <c r="A8" s="3" t="inlineStr">
        <is>
          <t xml:space="preserve">  在建工程</t>
        </is>
      </c>
      <c r="B8" s="3" t="inlineStr"/>
      <c r="C8" s="3" t="inlineStr"/>
      <c r="D8" s="3" t="inlineStr"/>
      <c r="E8" s="3" t="inlineStr"/>
    </row>
    <row r="9">
      <c r="A9" s="3" t="inlineStr">
        <is>
          <t xml:space="preserve">  总资产</t>
        </is>
      </c>
      <c r="B9" s="3" t="inlineStr"/>
      <c r="C9" s="3" t="inlineStr"/>
      <c r="D9" s="3" t="inlineStr"/>
      <c r="E9" s="3" t="inlineStr"/>
    </row>
    <row r="10">
      <c r="A10" s="3" t="inlineStr">
        <is>
          <t>负债</t>
        </is>
      </c>
      <c r="B10" s="3" t="inlineStr"/>
      <c r="C10" s="3" t="inlineStr"/>
      <c r="D10" s="3" t="inlineStr"/>
      <c r="E10" s="3" t="inlineStr"/>
    </row>
    <row r="11">
      <c r="A11" s="3" t="inlineStr">
        <is>
          <t xml:space="preserve">  有息负债</t>
        </is>
      </c>
      <c r="B11" s="3" t="inlineStr"/>
      <c r="C11" s="3" t="inlineStr"/>
      <c r="D11" s="3">
        <f>前-偿还借款</f>
        <v/>
      </c>
      <c r="E11" s="3" t="inlineStr"/>
    </row>
    <row r="12">
      <c r="A12" s="3" t="inlineStr">
        <is>
          <t xml:space="preserve">  应付账款</t>
        </is>
      </c>
      <c r="B12" s="3" t="inlineStr"/>
      <c r="C12" s="3" t="inlineStr"/>
      <c r="D12" s="3" t="inlineStr"/>
      <c r="E12" s="3" t="inlineStr"/>
    </row>
    <row r="13">
      <c r="A13" s="3" t="inlineStr">
        <is>
          <t xml:space="preserve">  总负债</t>
        </is>
      </c>
      <c r="B13" s="3" t="inlineStr"/>
      <c r="C13" s="3" t="inlineStr"/>
      <c r="D13" s="3" t="inlineStr"/>
      <c r="E13" s="3" t="inlineStr"/>
    </row>
    <row r="14">
      <c r="A14" s="3" t="inlineStr">
        <is>
          <t>权益</t>
        </is>
      </c>
      <c r="B14" s="3" t="inlineStr"/>
      <c r="C14" s="3" t="inlineStr"/>
      <c r="D14" s="3" t="inlineStr"/>
      <c r="E14" s="3" t="inlineStr"/>
    </row>
    <row r="15">
      <c r="A15" s="3" t="inlineStr">
        <is>
          <t xml:space="preserve">  归母权益</t>
        </is>
      </c>
      <c r="B15" s="3" t="inlineStr"/>
      <c r="C15" s="3" t="inlineStr"/>
      <c r="D15" s="3">
        <f>前+募资净额</f>
        <v/>
      </c>
      <c r="E15" s="3" t="inlineStr"/>
    </row>
    <row r="16">
      <c r="A16" s="3" t="inlineStr">
        <is>
          <t xml:space="preserve">  少数股东权益</t>
        </is>
      </c>
      <c r="B16" s="3" t="inlineStr"/>
      <c r="C16" s="3" t="inlineStr"/>
      <c r="D16" s="3" t="inlineStr"/>
      <c r="E16" s="3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综合对比总览</t>
        </is>
      </c>
    </row>
    <row r="2">
      <c r="A2" s="2" t="inlineStr">
        <is>
          <t>维度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评判</t>
        </is>
      </c>
    </row>
    <row r="3">
      <c r="A3" s="3" t="inlineStr">
        <is>
          <t>总股本(万股)</t>
        </is>
      </c>
      <c r="B3" s="3" t="inlineStr"/>
      <c r="C3" s="3" t="inlineStr"/>
      <c r="D3" s="3" t="inlineStr"/>
      <c r="E3" s="3" t="inlineStr"/>
    </row>
    <row r="4">
      <c r="A4" s="3" t="inlineStr">
        <is>
          <t>稀释率</t>
        </is>
      </c>
      <c r="B4" s="3" t="inlineStr"/>
      <c r="C4" s="3" t="inlineStr"/>
      <c r="D4" s="3" t="inlineStr"/>
      <c r="E4" s="3" t="inlineStr"/>
    </row>
    <row r="5">
      <c r="A5" s="3" t="inlineStr">
        <is>
          <t>BPS(元/股)</t>
        </is>
      </c>
      <c r="B5" s="3" t="inlineStr"/>
      <c r="C5" s="3" t="inlineStr"/>
      <c r="D5" s="3" t="inlineStr"/>
      <c r="E5" s="3" t="inlineStr"/>
    </row>
    <row r="6">
      <c r="A6" s="3" t="inlineStr">
        <is>
          <t>资产负债率</t>
        </is>
      </c>
      <c r="B6" s="3" t="inlineStr"/>
      <c r="C6" s="3" t="inlineStr"/>
      <c r="D6" s="3" t="inlineStr"/>
      <c r="E6" s="3" t="inlineStr"/>
    </row>
    <row r="7">
      <c r="A7" s="3" t="inlineStr">
        <is>
          <t>有息负债(万元)</t>
        </is>
      </c>
      <c r="B7" s="3" t="inlineStr"/>
      <c r="C7" s="3" t="inlineStr"/>
      <c r="D7" s="3" t="inlineStr"/>
      <c r="E7" s="3" t="inlineStr"/>
    </row>
    <row r="8">
      <c r="A8" s="3" t="inlineStr">
        <is>
          <t>利息节约(万元/年)</t>
        </is>
      </c>
      <c r="B8" s="3" t="inlineStr"/>
      <c r="C8" s="3" t="inlineStr"/>
      <c r="D8" s="3" t="inlineStr"/>
      <c r="E8" s="3" t="inlineStr"/>
    </row>
    <row r="9">
      <c r="A9" s="3" t="inlineStr">
        <is>
          <t>EPS基准情景(元/股)</t>
        </is>
      </c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>
        <is>
          <t>最终评判</t>
        </is>
      </c>
      <c r="B11" s="3" t="inlineStr"/>
      <c r="C11" s="3" t="inlineStr"/>
      <c r="D11" s="3" t="inlineStr"/>
      <c r="E11" s="3" t="inlineStr">
        <is>
          <t>【增厚/摊薄判断 + 综合建议】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2026-06-01T05:58:47Z</dcterms:created>
  <dcterms:modified xmlns:dcterms="http://purl.org/dc/terms/" xmlns:xsi="http://www.w3.org/2001/XMLSchema-instance" xsi:type="dcterms:W3CDTF">2026-06-01T05:58:47Z</dcterms:modified>
</cp:coreProperties>
</file>