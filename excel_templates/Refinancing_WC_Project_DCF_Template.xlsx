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参数汇总" sheetId="1" state="visible" r:id="rId1"/>
    <sheet xmlns:r="http://schemas.openxmlformats.org/officeDocument/2006/relationships" name="2-持股比例摊薄" sheetId="2" state="visible" r:id="rId2"/>
    <sheet xmlns:r="http://schemas.openxmlformats.org/officeDocument/2006/relationships" name="3-BPS变化" sheetId="3" state="visible" r:id="rId3"/>
    <sheet xmlns:r="http://schemas.openxmlformats.org/officeDocument/2006/relationships" name="4-EPS摊薄" sheetId="4" state="visible" r:id="rId4"/>
    <sheet xmlns:r="http://schemas.openxmlformats.org/officeDocument/2006/relationships" name="5-利息节约" sheetId="5" state="visible" r:id="rId5"/>
    <sheet xmlns:r="http://schemas.openxmlformats.org/officeDocument/2006/relationships" name="6-ProForma" sheetId="6" state="visible" r:id="rId6"/>
    <sheet xmlns:r="http://schemas.openxmlformats.org/officeDocument/2006/relationships" name="7-综合对比" sheetId="7" state="visible" r:id="rId7"/>
    <sheet xmlns:r="http://schemas.openxmlformats.org/officeDocument/2006/relationships" name="8-项目一DCF" sheetId="8" state="visible" r:id="rId8"/>
    <sheet xmlns:r="http://schemas.openxmlformats.org/officeDocument/2006/relationships" name="9-项目二DCF" sheetId="9" state="visible" r:id="rId9"/>
    <sheet xmlns:r="http://schemas.openxmlformats.org/officeDocument/2006/relationships" name="10-合并估值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参数汇总 — 发行方案+核心财务数据+募投效益测算</t>
        </is>
      </c>
    </row>
    <row r="2">
      <c r="A2" s="2" t="inlineStr">
        <is>
          <t>参数项</t>
        </is>
      </c>
      <c r="B2" s="2" t="inlineStr">
        <is>
          <t>取值</t>
        </is>
      </c>
      <c r="C2" s="2" t="inlineStr">
        <is>
          <t>单位</t>
        </is>
      </c>
      <c r="D2" s="2" t="inlineStr">
        <is>
          <t>数据来源</t>
        </is>
      </c>
      <c r="E2" s="2" t="inlineStr">
        <is>
          <t>备注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持股比例摊薄分析</t>
        </is>
      </c>
    </row>
    <row r="2">
      <c r="A2" s="2" t="inlineStr">
        <is>
          <t>项目</t>
        </is>
      </c>
      <c r="B2" s="2" t="inlineStr">
        <is>
          <t>发行前</t>
        </is>
      </c>
      <c r="C2" s="2" t="inlineStr">
        <is>
          <t>发行后</t>
        </is>
      </c>
      <c r="D2" s="2" t="inlineStr">
        <is>
          <t>变化</t>
        </is>
      </c>
      <c r="E2" s="2" t="inlineStr">
        <is>
          <t>备注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每股净资产(BPS)变化</t>
        </is>
      </c>
    </row>
    <row r="2">
      <c r="A2" s="2" t="inlineStr">
        <is>
          <t>项目</t>
        </is>
      </c>
      <c r="B2" s="2" t="inlineStr">
        <is>
          <t>发行前</t>
        </is>
      </c>
      <c r="C2" s="2" t="inlineStr">
        <is>
          <t>发行后</t>
        </is>
      </c>
      <c r="D2" s="2" t="inlineStr">
        <is>
          <t>变化</t>
        </is>
      </c>
      <c r="E2" s="2" t="inlineStr">
        <is>
          <t>备注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EPS摊薄分析</t>
        </is>
      </c>
    </row>
    <row r="2">
      <c r="A2" s="2" t="inlineStr">
        <is>
          <t>项目</t>
        </is>
      </c>
      <c r="B2" s="2" t="inlineStr">
        <is>
          <t>悲观</t>
        </is>
      </c>
      <c r="C2" s="2" t="inlineStr">
        <is>
          <t>基准</t>
        </is>
      </c>
      <c r="D2" s="2" t="inlineStr">
        <is>
          <t>乐观</t>
        </is>
      </c>
      <c r="E2" s="2" t="inlineStr">
        <is>
          <t>备注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利息节约测算</t>
        </is>
      </c>
    </row>
    <row r="2">
      <c r="A2" s="2" t="inlineStr">
        <is>
          <t>项目</t>
        </is>
      </c>
      <c r="B2" s="2" t="inlineStr">
        <is>
          <t>数值</t>
        </is>
      </c>
      <c r="C2" s="2" t="inlineStr">
        <is>
          <t>单位</t>
        </is>
      </c>
      <c r="D2" s="2" t="inlineStr">
        <is>
          <t>备注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6" customWidth="1" min="5" max="5"/>
  </cols>
  <sheetData>
    <row r="1" ht="30" customHeight="1">
      <c r="A1" s="1" t="inlineStr">
        <is>
          <t>Pro Forma资产负债表</t>
        </is>
      </c>
    </row>
    <row r="2">
      <c r="A2" s="2" t="inlineStr">
        <is>
          <t>项目</t>
        </is>
      </c>
      <c r="B2" s="2" t="inlineStr">
        <is>
          <t>发行前(万元)</t>
        </is>
      </c>
      <c r="C2" s="2" t="inlineStr">
        <is>
          <t>调整(万元)</t>
        </is>
      </c>
      <c r="D2" s="2" t="inlineStr">
        <is>
          <t>发行后(万元)</t>
        </is>
      </c>
      <c r="E2" s="2" t="inlineStr">
        <is>
          <t>备注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综合对比总览</t>
        </is>
      </c>
    </row>
    <row r="2">
      <c r="A2" s="2" t="inlineStr">
        <is>
          <t>维度</t>
        </is>
      </c>
      <c r="B2" s="2" t="inlineStr">
        <is>
          <t>发行前</t>
        </is>
      </c>
      <c r="C2" s="2" t="inlineStr">
        <is>
          <t>发行后</t>
        </is>
      </c>
      <c r="D2" s="2" t="inlineStr">
        <is>
          <t>变化</t>
        </is>
      </c>
      <c r="E2" s="2" t="inlineStr">
        <is>
          <t>评判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项目一 DCF 估值模型</t>
        </is>
      </c>
    </row>
    <row r="2">
      <c r="A2" s="2" t="inlineStr">
        <is>
          <t>项目</t>
        </is>
      </c>
      <c r="B2" s="2" t="inlineStr">
        <is>
          <t>建设期</t>
        </is>
      </c>
      <c r="C2" s="2" t="inlineStr">
        <is>
          <t>达产期Y1</t>
        </is>
      </c>
      <c r="D2" s="2" t="inlineStr">
        <is>
          <t>Y2</t>
        </is>
      </c>
      <c r="E2" s="2" t="inlineStr">
        <is>
          <t>Y3</t>
        </is>
      </c>
      <c r="F2" s="2" t="inlineStr">
        <is>
          <t>Y4</t>
        </is>
      </c>
      <c r="G2" s="2" t="inlineStr">
        <is>
          <t>Y5</t>
        </is>
      </c>
      <c r="H2" s="2" t="inlineStr">
        <is>
          <t>Y6</t>
        </is>
      </c>
      <c r="I2" s="2" t="inlineStr">
        <is>
          <t>Y7</t>
        </is>
      </c>
      <c r="J2" s="2" t="inlineStr">
        <is>
          <t>公式/来源</t>
        </is>
      </c>
    </row>
    <row r="3">
      <c r="A3" s="3" t="inlineStr">
        <is>
          <t>营业收入(万元)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>
        <is>
          <t>募集说明书效益测算表</t>
        </is>
      </c>
    </row>
    <row r="4">
      <c r="A4" s="3" t="inlineStr">
        <is>
          <t>营业成本(万元)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3" t="inlineStr">
        <is>
          <t>利润总额(万元)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inlineStr">
        <is>
          <t>所得税(万元)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3" t="inlineStr">
        <is>
          <t>净利润(万元)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3" t="inlineStr">
        <is>
          <t>折旧摊销(万元)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s="3" t="inlineStr">
        <is>
          <t>CAPEX(万元)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3" t="inlineStr">
        <is>
          <t>FCF(万元)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>
        <f>NOPAT+D&amp;A-CAPEX</f>
        <v/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3" t="inlineStr">
        <is>
          <t>WACC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3" t="inlineStr">
        <is>
          <t>永续增长率g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3" t="inlineStr">
        <is>
          <t>NPV(万元)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>
        <f>PV(预测FCF)+PV(终值)</f>
        <v/>
      </c>
    </row>
    <row r="15">
      <c r="A15" s="3" t="inlineStr">
        <is>
          <t>IRR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>
        <is>
          <t>IRR(FCFF)=?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项目二 DCF 估值模型(同项目一)</t>
        </is>
      </c>
    </row>
    <row r="2">
      <c r="A2" s="2" t="inlineStr">
        <is>
          <t>项目</t>
        </is>
      </c>
      <c r="B2" s="2" t="inlineStr">
        <is>
          <t>建设期</t>
        </is>
      </c>
      <c r="C2" s="2" t="inlineStr">
        <is>
          <t>达产期Y1</t>
        </is>
      </c>
      <c r="D2" s="2" t="inlineStr">
        <is>
          <t>Y2</t>
        </is>
      </c>
      <c r="E2" s="2" t="inlineStr">
        <is>
          <t>Y3</t>
        </is>
      </c>
      <c r="F2" s="2" t="inlineStr">
        <is>
          <t>Y4</t>
        </is>
      </c>
      <c r="G2" s="2" t="inlineStr">
        <is>
          <t>Y5</t>
        </is>
      </c>
      <c r="H2" s="2" t="inlineStr">
        <is>
          <t>Y6</t>
        </is>
      </c>
      <c r="I2" s="2" t="inlineStr">
        <is>
          <t>Y7</t>
        </is>
      </c>
      <c r="J2" s="2" t="inlineStr">
        <is>
          <t>公式/来源</t>
        </is>
      </c>
    </row>
    <row r="3">
      <c r="A3" s="3" t="inlineStr">
        <is>
          <t>营业收入(万元)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>
        <is>
          <t>募集说明书效益测算表</t>
        </is>
      </c>
    </row>
    <row r="4">
      <c r="A4" s="3" t="inlineStr">
        <is>
          <t>营业成本(万元)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3" t="inlineStr">
        <is>
          <t>利润总额(万元)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inlineStr">
        <is>
          <t>所得税(万元)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3" t="inlineStr">
        <is>
          <t>净利润(万元)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3" t="inlineStr">
        <is>
          <t>折旧摊销(万元)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s="3" t="inlineStr">
        <is>
          <t>CAPEX(万元)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3" t="inlineStr">
        <is>
          <t>FCF(万元)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>
        <f>NOPAT+D&amp;A-CAPEX</f>
        <v/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3" t="inlineStr">
        <is>
          <t>WACC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3" t="inlineStr">
        <is>
          <t>永续增长率g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3" t="inlineStr">
        <is>
          <t>NPV(万元)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>
        <f>PV(预测FCF)+PV(终值)</f>
        <v/>
      </c>
    </row>
    <row r="15">
      <c r="A15" s="3" t="inlineStr">
        <is>
          <t>IRR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>
        <is>
          <t>IRR(FCFF)=?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 ht="30" customHeight="1">
      <c r="A1" s="1" t="inlineStr">
        <is>
          <t>合并估值 — 存量P/E + Σ项目NPV</t>
        </is>
      </c>
    </row>
    <row r="2">
      <c r="A2" s="2" t="inlineStr">
        <is>
          <t>项目</t>
        </is>
      </c>
      <c r="B2" s="2" t="inlineStr">
        <is>
          <t>数值</t>
        </is>
      </c>
      <c r="C2" s="2" t="inlineStr">
        <is>
          <t>单位</t>
        </is>
      </c>
      <c r="D2" s="2" t="inlineStr">
        <is>
          <t>每股贡献(元)</t>
        </is>
      </c>
      <c r="E2" s="2" t="inlineStr">
        <is>
          <t>备注</t>
        </is>
      </c>
    </row>
    <row r="3">
      <c r="A3" s="3" t="inlineStr">
        <is>
          <t>发行前总股本</t>
        </is>
      </c>
      <c r="B3" s="3" t="inlineStr"/>
      <c r="C3" s="3" t="inlineStr">
        <is>
          <t>万股</t>
        </is>
      </c>
      <c r="D3" s="3" t="inlineStr"/>
      <c r="E3" s="3" t="inlineStr"/>
    </row>
    <row r="4">
      <c r="A4" s="3" t="inlineStr">
        <is>
          <t>新增股本</t>
        </is>
      </c>
      <c r="B4" s="3" t="inlineStr"/>
      <c r="C4" s="3" t="inlineStr">
        <is>
          <t>万股</t>
        </is>
      </c>
      <c r="D4" s="3" t="inlineStr"/>
      <c r="E4" s="3" t="inlineStr"/>
    </row>
    <row r="5">
      <c r="A5" s="3" t="inlineStr">
        <is>
          <t>发行后总股本</t>
        </is>
      </c>
      <c r="B5" s="3" t="inlineStr"/>
      <c r="C5" s="3" t="inlineStr">
        <is>
          <t>万股</t>
        </is>
      </c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>
        <is>
          <t>存量业务估值(P/E或DCF)</t>
        </is>
      </c>
      <c r="B7" s="3" t="inlineStr"/>
      <c r="C7" s="3" t="inlineStr">
        <is>
          <t>万元</t>
        </is>
      </c>
      <c r="D7" s="3" t="inlineStr"/>
      <c r="E7" s="3" t="inlineStr"/>
    </row>
    <row r="8">
      <c r="A8" s="3" t="inlineStr">
        <is>
          <t>项目一NPV</t>
        </is>
      </c>
      <c r="B8" s="3" t="inlineStr"/>
      <c r="C8" s="3" t="inlineStr">
        <is>
          <t>万元</t>
        </is>
      </c>
      <c r="D8" s="3" t="inlineStr"/>
      <c r="E8" s="3" t="inlineStr"/>
    </row>
    <row r="9">
      <c r="A9" s="3" t="inlineStr">
        <is>
          <t>项目二NPV</t>
        </is>
      </c>
      <c r="B9" s="3" t="inlineStr"/>
      <c r="C9" s="3" t="inlineStr">
        <is>
          <t>万元</t>
        </is>
      </c>
      <c r="D9" s="3" t="inlineStr"/>
      <c r="E9" s="3" t="inlineStr"/>
    </row>
    <row r="10">
      <c r="A10" s="3" t="inlineStr">
        <is>
          <t>发行后总价值</t>
        </is>
      </c>
      <c r="B10" s="3" t="inlineStr"/>
      <c r="C10" s="3" t="inlineStr">
        <is>
          <t>万元</t>
        </is>
      </c>
      <c r="D10" s="3" t="inlineStr"/>
      <c r="E10" s="3">
        <f>存量+ΣNPV</f>
        <v/>
      </c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>
        <is>
          <t>发行前每股价值</t>
        </is>
      </c>
      <c r="B12" s="3" t="inlineStr"/>
      <c r="C12" s="3" t="inlineStr">
        <is>
          <t>元/股</t>
        </is>
      </c>
      <c r="D12" s="3" t="inlineStr"/>
      <c r="E12" s="3">
        <f>存量估值/发行前股本</f>
        <v/>
      </c>
    </row>
    <row r="13">
      <c r="A13" s="3" t="inlineStr">
        <is>
          <t>发行后每股价值</t>
        </is>
      </c>
      <c r="B13" s="3" t="inlineStr"/>
      <c r="C13" s="3" t="inlineStr">
        <is>
          <t>元/股</t>
        </is>
      </c>
      <c r="D13" s="3" t="inlineStr"/>
      <c r="E13" s="3">
        <f>总价值/发行后股本</f>
        <v/>
      </c>
    </row>
    <row r="14">
      <c r="A14" s="3" t="inlineStr">
        <is>
          <t>股本稀释效应</t>
        </is>
      </c>
      <c r="B14" s="3" t="inlineStr"/>
      <c r="C14" s="3" t="inlineStr">
        <is>
          <t>元/股</t>
        </is>
      </c>
      <c r="D14" s="3" t="inlineStr"/>
      <c r="E14" s="3">
        <f>存量发行后每股-发行前每股</f>
        <v/>
      </c>
    </row>
    <row r="15">
      <c r="A15" s="3" t="inlineStr">
        <is>
          <t>项目创造价值</t>
        </is>
      </c>
      <c r="B15" s="3" t="inlineStr"/>
      <c r="C15" s="3" t="inlineStr">
        <is>
          <t>元/股</t>
        </is>
      </c>
      <c r="D15" s="3" t="inlineStr"/>
      <c r="E15" s="3">
        <f>ΣNPV/发行后股本</f>
        <v/>
      </c>
    </row>
    <row r="16">
      <c r="A16" s="3" t="inlineStr">
        <is>
          <t>净效应</t>
        </is>
      </c>
      <c r="B16" s="3" t="inlineStr"/>
      <c r="C16" s="3" t="inlineStr">
        <is>
          <t>元/股</t>
        </is>
      </c>
      <c r="D16" s="3" t="inlineStr"/>
      <c r="E16" s="3">
        <f>发行后每股-发行前每股</f>
        <v/>
      </c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>
        <is>
          <t>判断：项目NPV能否覆盖稀释？</t>
        </is>
      </c>
      <c r="B18" s="3" t="inlineStr"/>
      <c r="C18" s="3" t="inlineStr"/>
      <c r="D18" s="3" t="inlineStr"/>
      <c r="E18" s="3" t="inlineStr">
        <is>
          <t>净效应&gt;0→覆盖✓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2026-06-01T05:58:47Z</dcterms:created>
  <dcterms:modified xmlns:dcterms="http://purl.org/dc/terms/" xmlns:xsi="http://www.w3.org/2001/XMLSchema-instance" xsi:type="dcterms:W3CDTF">2026-06-01T05:58:47Z</dcterms:modified>
</cp:coreProperties>
</file>