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交易概览" sheetId="1" state="visible" r:id="rId1"/>
    <sheet xmlns:r="http://schemas.openxmlformats.org/officeDocument/2006/relationships" name="历史财务数据" sheetId="2" state="visible" r:id="rId2"/>
    <sheet xmlns:r="http://schemas.openxmlformats.org/officeDocument/2006/relationships" name="可比公司与WACC" sheetId="3" state="visible" r:id="rId3"/>
    <sheet xmlns:r="http://schemas.openxmlformats.org/officeDocument/2006/relationships" name="独立DCF" sheetId="4" state="visible" r:id="rId4"/>
    <sheet xmlns:r="http://schemas.openxmlformats.org/officeDocument/2006/relationships" name="标的FCFF" sheetId="5" state="visible" r:id="rId5"/>
    <sheet xmlns:r="http://schemas.openxmlformats.org/officeDocument/2006/relationships" name="备考合并DCF" sheetId="6" state="visible" r:id="rId6"/>
    <sheet xmlns:r="http://schemas.openxmlformats.org/officeDocument/2006/relationships" name="估值对比" sheetId="7" state="visible" r:id="rId7"/>
    <sheet xmlns:r="http://schemas.openxmlformats.org/officeDocument/2006/relationships" name="敏感性分析" sheetId="8" state="visible" r:id="rId8"/>
    <sheet xmlns:r="http://schemas.openxmlformats.org/officeDocument/2006/relationships" name="关键假设清单" sheetId="9" state="visible" r:id="rId9"/>
    <sheet xmlns:r="http://schemas.openxmlformats.org/officeDocument/2006/relationships" name="业绩承诺可行性分析" sheetId="10" state="visible" r:id="rId10"/>
    <sheet xmlns:r="http://schemas.openxmlformats.org/officeDocument/2006/relationships" name="配套募资概览" sheetId="11" state="visible" r:id="rId11"/>
    <sheet xmlns:r="http://schemas.openxmlformats.org/officeDocument/2006/relationships" name="募投项目独立DCF" sheetId="12" state="visible" r:id="rId12"/>
    <sheet xmlns:r="http://schemas.openxmlformats.org/officeDocument/2006/relationships" name="含募投合并调整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b val="1"/>
      <sz val="10"/>
    </font>
    <font>
      <name val="微软雅黑"/>
      <sz val="10"/>
    </font>
    <font>
      <name val="微软雅黑"/>
      <color rgb="00FF0000"/>
      <sz val="10"/>
    </font>
    <font>
      <name val="微软雅黑"/>
      <color rgb="00006100"/>
      <sz val="10"/>
    </font>
    <font>
      <name val="微软雅黑"/>
      <b val="1"/>
      <color rgb="00FFFFFF"/>
      <sz val="12"/>
    </font>
    <font>
      <name val="微软雅黑"/>
      <b val="1"/>
      <sz val="11"/>
    </font>
    <font>
      <name val="微软雅黑"/>
      <b val="1"/>
      <color rgb="00CC0000"/>
      <sz val="10"/>
    </font>
    <font>
      <name val="微软雅黑"/>
      <i val="1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4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wrapText="1"/>
    </xf>
    <xf numFmtId="4" fontId="2" fillId="4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4" fontId="4" fillId="5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2" fillId="4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8" fillId="6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M&amp;A 并购置入交易概览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2" t="inlineStr">
        <is>
          <t>公司名称</t>
        </is>
      </c>
      <c r="B2" s="3" t="inlineStr">
        <is>
          <t>某并购方企业</t>
        </is>
      </c>
    </row>
    <row r="3">
      <c r="A3" s="2" t="inlineStr">
        <is>
          <t>股票代码</t>
        </is>
      </c>
      <c r="B3" s="3" t="inlineStr">
        <is>
          <t>XXXXXX.SZ</t>
        </is>
      </c>
    </row>
    <row r="4">
      <c r="A4" s="2" t="inlineStr">
        <is>
          <t>估值基准日</t>
        </is>
      </c>
      <c r="B4" s="3" t="inlineStr">
        <is>
          <t>2025-03-31</t>
        </is>
      </c>
    </row>
    <row r="5">
      <c r="A5" s="2" t="inlineStr">
        <is>
          <t>基准年</t>
        </is>
      </c>
      <c r="B5" s="3" t="inlineStr">
        <is>
          <t>2025</t>
        </is>
      </c>
    </row>
    <row r="6">
      <c r="A6" s="2" t="inlineStr">
        <is>
          <t>预测期</t>
        </is>
      </c>
      <c r="B6" s="3" t="inlineStr">
        <is>
          <t>6年 (2026E - 2031E)</t>
        </is>
      </c>
    </row>
    <row r="7">
      <c r="A7" s="2" t="inlineStr">
        <is>
          <t>项目类型</t>
        </is>
      </c>
      <c r="B7" s="3" t="inlineStr">
        <is>
          <t>M&amp;A 并购置入交易概览</t>
        </is>
      </c>
    </row>
    <row r="9">
      <c r="A9" s="2" t="inlineStr">
        <is>
          <t>股份处理方式</t>
        </is>
      </c>
      <c r="B9" s="3" t="inlineStr">
        <is>
          <t>发股购买</t>
        </is>
      </c>
    </row>
    <row r="10">
      <c r="A10" s="2" t="inlineStr">
        <is>
          <t>基准日总股本(万股)</t>
        </is>
      </c>
      <c r="B10" s="3" t="inlineStr">
        <is>
          <t>60,000</t>
        </is>
      </c>
    </row>
    <row r="11">
      <c r="A11" s="2" t="inlineStr">
        <is>
          <t>发行/发股上限(万股)</t>
        </is>
      </c>
      <c r="B11" s="3" t="inlineStr">
        <is>
          <t>12,000</t>
        </is>
      </c>
    </row>
    <row r="12">
      <c r="A12" s="2" t="inlineStr">
        <is>
          <t>交易后总股本(万股)</t>
        </is>
      </c>
      <c r="B12" s="3" t="inlineStr">
        <is>
          <t>72,000</t>
        </is>
      </c>
    </row>
    <row r="14">
      <c r="A14" s="2" t="inlineStr">
        <is>
          <t>收购对价(万元)</t>
        </is>
      </c>
      <c r="B14" s="3" t="inlineStr">
        <is>
          <t>650,769</t>
        </is>
      </c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历史财务数据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一、合并利润表（万元）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>
        <is>
          <t>项目</t>
        </is>
      </c>
      <c r="B3" s="1" t="inlineStr">
        <is>
          <t>2023</t>
        </is>
      </c>
      <c r="C3" s="1" t="inlineStr">
        <is>
          <t>2024</t>
        </is>
      </c>
      <c r="D3" s="1" t="inlineStr">
        <is>
          <t>2025</t>
        </is>
      </c>
    </row>
    <row r="4">
      <c r="A4" s="3" t="inlineStr">
        <is>
          <t>营业收入</t>
        </is>
      </c>
      <c r="B4" s="5" t="n">
        <v>185000</v>
      </c>
      <c r="C4" s="5" t="n">
        <v>210000</v>
      </c>
      <c r="D4" s="5" t="n">
        <v>230000</v>
      </c>
    </row>
    <row r="5">
      <c r="A5" s="3" t="inlineStr">
        <is>
          <t>营业成本</t>
        </is>
      </c>
      <c r="B5" s="5" t="n">
        <v>120000</v>
      </c>
      <c r="C5" s="5" t="n">
        <v>136500</v>
      </c>
      <c r="D5" s="5" t="n">
        <v>149500</v>
      </c>
    </row>
    <row r="6">
      <c r="A6" s="3" t="inlineStr">
        <is>
          <t>利润总额</t>
        </is>
      </c>
      <c r="B6" s="5" t="n">
        <v>28000</v>
      </c>
      <c r="C6" s="5" t="n">
        <v>31500</v>
      </c>
      <c r="D6" s="5" t="n">
        <v>35000</v>
      </c>
    </row>
    <row r="7">
      <c r="A7" s="6" t="inlineStr">
        <is>
          <t>归母净利润</t>
        </is>
      </c>
      <c r="B7" s="7" t="n">
        <v>23800</v>
      </c>
      <c r="C7" s="7" t="n">
        <v>26800</v>
      </c>
      <c r="D7" s="7" t="n">
        <v>29750</v>
      </c>
    </row>
    <row r="9">
      <c r="A9" s="4" t="inlineStr">
        <is>
          <t>二、关键财务指标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1" t="n"/>
    </row>
    <row r="10">
      <c r="A10" s="1" t="inlineStr">
        <is>
          <t>指标</t>
        </is>
      </c>
      <c r="B10" s="1" t="inlineStr">
        <is>
          <t>2023</t>
        </is>
      </c>
      <c r="C10" s="1" t="inlineStr">
        <is>
          <t>2024</t>
        </is>
      </c>
      <c r="D10" s="1" t="inlineStr">
        <is>
          <t>2025</t>
        </is>
      </c>
    </row>
    <row r="11">
      <c r="A11" s="3" t="inlineStr">
        <is>
          <t>EBIT利润率</t>
        </is>
      </c>
      <c r="B11" s="8" t="n">
        <v>0.1513513513513514</v>
      </c>
      <c r="C11" s="8" t="n">
        <v>0.15</v>
      </c>
      <c r="D11" s="8" t="n">
        <v>0.1521739130434783</v>
      </c>
    </row>
    <row r="12">
      <c r="A12" s="3" t="inlineStr">
        <is>
          <t>收入同比增速</t>
        </is>
      </c>
      <c r="B12" s="8" t="n">
        <v>0</v>
      </c>
      <c r="C12" s="8" t="n">
        <v>0.1351351351351351</v>
      </c>
      <c r="D12" s="8" t="n">
        <v>0.09523809523809523</v>
      </c>
    </row>
    <row r="14">
      <c r="A14" s="4" t="inlineStr">
        <is>
          <t>三、资产负债表关键项目（万元，基准日）</t>
        </is>
      </c>
      <c r="B14" s="20" t="n"/>
      <c r="C14" s="20" t="n"/>
      <c r="D14" s="20" t="n"/>
      <c r="E14" s="20" t="n"/>
      <c r="F14" s="20" t="n"/>
      <c r="G14" s="20" t="n"/>
      <c r="H14" s="20" t="n"/>
      <c r="I14" s="20" t="n"/>
      <c r="J14" s="21" t="n"/>
    </row>
    <row r="15">
      <c r="A15" s="2" t="inlineStr">
        <is>
          <t>货币资金</t>
        </is>
      </c>
      <c r="B15" s="9" t="inlineStr">
        <is>
          <t>50,000</t>
        </is>
      </c>
    </row>
    <row r="16">
      <c r="A16" s="2" t="inlineStr">
        <is>
          <t>应收账款(含票据及融资)</t>
        </is>
      </c>
      <c r="B16" s="9" t="inlineStr">
        <is>
          <t>60,000</t>
        </is>
      </c>
    </row>
    <row r="17">
      <c r="A17" s="2" t="inlineStr">
        <is>
          <t>存货</t>
        </is>
      </c>
      <c r="B17" s="9" t="inlineStr">
        <is>
          <t>35,000</t>
        </is>
      </c>
    </row>
    <row r="18">
      <c r="A18" s="2" t="inlineStr">
        <is>
          <t>应付账款</t>
        </is>
      </c>
      <c r="B18" s="9" t="inlineStr">
        <is>
          <t>40,000</t>
        </is>
      </c>
    </row>
    <row r="19">
      <c r="A19" s="2" t="inlineStr">
        <is>
          <t>固定资产净值</t>
        </is>
      </c>
      <c r="B19" s="9" t="inlineStr">
        <is>
          <t>150,000</t>
        </is>
      </c>
    </row>
    <row r="20">
      <c r="A20" s="2" t="inlineStr">
        <is>
          <t>在建工程</t>
        </is>
      </c>
      <c r="B20" s="9" t="inlineStr">
        <is>
          <t>20,000</t>
        </is>
      </c>
    </row>
    <row r="21">
      <c r="A21" s="2" t="inlineStr">
        <is>
          <t>有息负债合计</t>
        </is>
      </c>
      <c r="B21" s="9" t="inlineStr">
        <is>
          <t>120,000</t>
        </is>
      </c>
    </row>
    <row r="22">
      <c r="A22" s="3" t="inlineStr">
        <is>
          <t xml:space="preserve">  其中:短期借款</t>
        </is>
      </c>
      <c r="B22" s="9" t="inlineStr">
        <is>
          <t>30,000</t>
        </is>
      </c>
    </row>
    <row r="23">
      <c r="A23" s="3" t="inlineStr">
        <is>
          <t xml:space="preserve">  其中:长期借款</t>
        </is>
      </c>
      <c r="B23" s="9" t="inlineStr">
        <is>
          <t>80,000</t>
        </is>
      </c>
    </row>
    <row r="24">
      <c r="A24" s="3" t="inlineStr">
        <is>
          <t xml:space="preserve">  其中:一年内到期</t>
        </is>
      </c>
      <c r="B24" s="9" t="inlineStr">
        <is>
          <t>10,000</t>
        </is>
      </c>
    </row>
    <row r="25">
      <c r="A25" s="2" t="inlineStr">
        <is>
          <t>归母权益</t>
        </is>
      </c>
      <c r="B25" s="9" t="inlineStr">
        <is>
          <t>187,500</t>
        </is>
      </c>
    </row>
    <row r="26">
      <c r="A26" s="2" t="inlineStr">
        <is>
          <t>总股本(万股)</t>
        </is>
      </c>
      <c r="B26" s="9" t="inlineStr">
        <is>
          <t>60,000</t>
        </is>
      </c>
    </row>
    <row r="28">
      <c r="A28" s="4" t="inlineStr">
        <is>
          <t>四、折旧摊销（万元，基准年）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1" t="n"/>
    </row>
    <row r="29">
      <c r="A29" s="3" t="inlineStr">
        <is>
          <t>固定资产折旧</t>
        </is>
      </c>
      <c r="B29" s="9" t="n">
        <v>12000</v>
      </c>
    </row>
    <row r="30">
      <c r="A30" s="3" t="inlineStr">
        <is>
          <t>无形资产摊销</t>
        </is>
      </c>
      <c r="B30" s="9" t="n">
        <v>2000</v>
      </c>
    </row>
    <row r="31">
      <c r="A31" s="3" t="inlineStr">
        <is>
          <t>长期待摊费用摊销</t>
        </is>
      </c>
      <c r="B31" s="9" t="n">
        <v>500</v>
      </c>
    </row>
    <row r="32">
      <c r="A32" s="3" t="inlineStr">
        <is>
          <t>使用权资产折旧</t>
        </is>
      </c>
      <c r="B32" s="9" t="n">
        <v>1000</v>
      </c>
    </row>
    <row r="33">
      <c r="A33" s="6" t="inlineStr">
        <is>
          <t>折旧摊销合计</t>
        </is>
      </c>
      <c r="B33" s="7" t="n">
        <v>15500</v>
      </c>
    </row>
    <row r="35">
      <c r="A35" s="4" t="inlineStr">
        <is>
          <t>五、CAPEX（万元，基准年）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  <c r="J35" s="21" t="n"/>
    </row>
    <row r="36">
      <c r="A36" s="3" t="inlineStr">
        <is>
          <t>购建固定资产支付的现金</t>
        </is>
      </c>
      <c r="B36" s="5" t="n">
        <v>25000</v>
      </c>
    </row>
  </sheetData>
  <mergeCells count="6">
    <mergeCell ref="A1:J1"/>
    <mergeCell ref="A14:J14"/>
    <mergeCell ref="A9:J9"/>
    <mergeCell ref="A35:J35"/>
    <mergeCell ref="A2:J2"/>
    <mergeCell ref="A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可比公司分析与WACC计算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一、可比公司 βU 去杠杆矩阵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>
        <is>
          <t>公司</t>
        </is>
      </c>
      <c r="B3" s="1" t="inlineStr">
        <is>
          <t>总市值(万元)</t>
        </is>
      </c>
      <c r="C3" s="1" t="inlineStr">
        <is>
          <t>有息负债(万元)</t>
        </is>
      </c>
      <c r="D3" s="1" t="inlineStr">
        <is>
          <t>βL</t>
        </is>
      </c>
      <c r="E3" s="1" t="inlineStr">
        <is>
          <t>税率</t>
        </is>
      </c>
      <c r="F3" s="1" t="inlineStr">
        <is>
          <t>βU</t>
        </is>
      </c>
    </row>
    <row r="4">
      <c r="A4" s="10" t="inlineStr">
        <is>
          <t>公司A</t>
        </is>
      </c>
      <c r="B4" s="10" t="n">
        <v>600000</v>
      </c>
      <c r="C4" s="10" t="n">
        <v>108000</v>
      </c>
      <c r="D4" s="11" t="n">
        <v>1.15</v>
      </c>
      <c r="E4" s="11" t="n">
        <v>0.15</v>
      </c>
      <c r="F4" s="11" t="n">
        <v>1</v>
      </c>
    </row>
    <row r="5">
      <c r="A5" s="10" t="inlineStr">
        <is>
          <t>公司B</t>
        </is>
      </c>
      <c r="B5" s="10" t="n">
        <v>450000</v>
      </c>
      <c r="C5" s="10" t="n">
        <v>112500</v>
      </c>
      <c r="D5" s="11" t="n">
        <v>0.95</v>
      </c>
      <c r="E5" s="11" t="n">
        <v>0.25</v>
      </c>
      <c r="F5" s="11" t="n">
        <v>0.8</v>
      </c>
    </row>
    <row r="6">
      <c r="A6" s="10" t="inlineStr">
        <is>
          <t>公司C</t>
        </is>
      </c>
      <c r="B6" s="10" t="n">
        <v>800000</v>
      </c>
      <c r="C6" s="10" t="n">
        <v>240000</v>
      </c>
      <c r="D6" s="11" t="n">
        <v>1.3</v>
      </c>
      <c r="E6" s="11" t="n">
        <v>0.15</v>
      </c>
      <c r="F6" s="11" t="n">
        <v>1.03</v>
      </c>
    </row>
    <row r="7">
      <c r="A7" s="10" t="inlineStr">
        <is>
          <t>公司D</t>
        </is>
      </c>
      <c r="B7" s="10" t="n">
        <v>350000</v>
      </c>
      <c r="C7" s="10" t="n">
        <v>42000</v>
      </c>
      <c r="D7" s="11" t="n">
        <v>0.85</v>
      </c>
      <c r="E7" s="11" t="n">
        <v>0.15</v>
      </c>
      <c r="F7" s="11" t="n">
        <v>0.78</v>
      </c>
    </row>
    <row r="8">
      <c r="A8" s="10" t="inlineStr">
        <is>
          <t>公司E</t>
        </is>
      </c>
      <c r="B8" s="10" t="n">
        <v>500000</v>
      </c>
      <c r="C8" s="10" t="n">
        <v>100000</v>
      </c>
      <c r="D8" s="11" t="n">
        <v>1.1</v>
      </c>
      <c r="E8" s="11" t="n">
        <v>0.15</v>
      </c>
      <c r="F8" s="11" t="n">
        <v>0.9399999999999999</v>
      </c>
    </row>
    <row r="9">
      <c r="A9" s="6" t="inlineStr">
        <is>
          <t>βU 均值</t>
        </is>
      </c>
      <c r="B9" s="7" t="n">
        <v>0.9099999999999999</v>
      </c>
    </row>
    <row r="10">
      <c r="A10" s="6" t="inlineStr">
        <is>
          <t>βU 中位数</t>
        </is>
      </c>
      <c r="B10" s="7" t="n">
        <v>0.9399999999999999</v>
      </c>
    </row>
    <row r="12">
      <c r="A12" s="4" t="inlineStr">
        <is>
          <t>二、WACC 计算参数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  <c r="J12" s="21" t="n"/>
    </row>
    <row r="13">
      <c r="A13" s="1" t="inlineStr">
        <is>
          <t>参数</t>
        </is>
      </c>
      <c r="B13" s="1" t="inlineStr">
        <is>
          <t>取值</t>
        </is>
      </c>
      <c r="C13" s="1" t="inlineStr">
        <is>
          <t>来源/说明</t>
        </is>
      </c>
    </row>
    <row r="14">
      <c r="A14" s="2" t="inlineStr">
        <is>
          <t>无风险利率 Rf</t>
        </is>
      </c>
      <c r="B14" s="12" t="inlineStr">
        <is>
          <t>2.03%</t>
        </is>
      </c>
      <c r="C14" s="3" t="inlineStr">
        <is>
          <t>30年国债到期收益率</t>
        </is>
      </c>
    </row>
    <row r="15">
      <c r="A15" s="2" t="inlineStr">
        <is>
          <t>市场风险溢价 MRP</t>
        </is>
      </c>
      <c r="B15" s="12" t="inlineStr">
        <is>
          <t>6.57%</t>
        </is>
      </c>
      <c r="C15" s="3" t="inlineStr">
        <is>
          <t>沪深300历史平均-10年国债</t>
        </is>
      </c>
    </row>
    <row r="16">
      <c r="A16" s="2" t="inlineStr">
        <is>
          <t>可比βU均值</t>
        </is>
      </c>
      <c r="B16" s="12" t="inlineStr">
        <is>
          <t>0.9742</t>
        </is>
      </c>
      <c r="C16" s="3" t="inlineStr">
        <is>
          <t>Wind月频数据</t>
        </is>
      </c>
    </row>
    <row r="17">
      <c r="A17" s="2" t="inlineStr">
        <is>
          <t>目标D/E</t>
        </is>
      </c>
      <c r="B17" s="12" t="inlineStr">
        <is>
          <t>20000.0%</t>
        </is>
      </c>
      <c r="C17" s="3" t="inlineStr">
        <is>
          <t>基于账面值</t>
        </is>
      </c>
    </row>
    <row r="18">
      <c r="A18" s="2" t="inlineStr">
        <is>
          <t>推导βL</t>
        </is>
      </c>
      <c r="B18" s="12" t="inlineStr">
        <is>
          <t>0.9744</t>
        </is>
      </c>
      <c r="C18" s="3" t="inlineStr">
        <is>
          <t>βU → βL</t>
        </is>
      </c>
    </row>
    <row r="19">
      <c r="A19" s="2" t="inlineStr">
        <is>
          <t>股权成本 Ke</t>
        </is>
      </c>
      <c r="B19" s="12" t="inlineStr">
        <is>
          <t>8.79%</t>
        </is>
      </c>
      <c r="C19" s="3" t="inlineStr">
        <is>
          <t>CAPM</t>
        </is>
      </c>
    </row>
    <row r="20">
      <c r="A20" s="2" t="inlineStr">
        <is>
          <t>债务成本 Kd(税后)</t>
        </is>
      </c>
      <c r="B20" s="12" t="inlineStr">
        <is>
          <t>2.98%</t>
        </is>
      </c>
      <c r="C20" s="3" t="inlineStr">
        <is>
          <t>5年期LPR 3.5%</t>
        </is>
      </c>
    </row>
    <row r="21">
      <c r="A21" s="2" t="inlineStr">
        <is>
          <t>企业特定风险</t>
        </is>
      </c>
      <c r="B21" s="12" t="inlineStr">
        <is>
          <t>1.5%</t>
        </is>
      </c>
      <c r="C21" s="3" t="inlineStr">
        <is>
          <t>中小企业+流动性折价</t>
        </is>
      </c>
    </row>
    <row r="22">
      <c r="A22" s="2" t="inlineStr">
        <is>
          <t>独立WACC</t>
        </is>
      </c>
      <c r="B22" s="12" t="inlineStr">
        <is>
          <t>8.80%</t>
        </is>
      </c>
      <c r="C22" s="3" t="inlineStr">
        <is>
          <t>用于独立DCF</t>
        </is>
      </c>
    </row>
    <row r="23">
      <c r="A23" s="2" t="inlineStr">
        <is>
          <t>合并WACC</t>
        </is>
      </c>
      <c r="B23" s="12" t="inlineStr">
        <is>
          <t>9.10%</t>
        </is>
      </c>
      <c r="C23" s="3" t="inlineStr">
        <is>
          <t>独立WACC+0.3%整合风险</t>
        </is>
      </c>
    </row>
    <row r="24">
      <c r="A24" s="2" t="inlineStr">
        <is>
          <t>永续增长率 g</t>
        </is>
      </c>
      <c r="B24" s="12" t="inlineStr">
        <is>
          <t>2.0%</t>
        </is>
      </c>
      <c r="C24" s="3" t="inlineStr">
        <is>
          <t>标准假设</t>
        </is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独立DCF (独立口径)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一、收入预测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>
        <is>
          <t>项目</t>
        </is>
      </c>
      <c r="B3" s="1" t="inlineStr">
        <is>
          <t>2026E</t>
        </is>
      </c>
      <c r="C3" s="1" t="inlineStr">
        <is>
          <t>2027E</t>
        </is>
      </c>
      <c r="D3" s="1" t="inlineStr">
        <is>
          <t>2028E</t>
        </is>
      </c>
      <c r="E3" s="1" t="inlineStr">
        <is>
          <t>2029E</t>
        </is>
      </c>
      <c r="F3" s="1" t="inlineStr">
        <is>
          <t>2030E</t>
        </is>
      </c>
      <c r="G3" s="1" t="inlineStr">
        <is>
          <t>2031E</t>
        </is>
      </c>
    </row>
    <row r="4">
      <c r="A4" s="3" t="inlineStr">
        <is>
          <t>营业收入(万元)</t>
        </is>
      </c>
      <c r="B4" s="5" t="n">
        <v>248400</v>
      </c>
      <c r="C4" s="5" t="n">
        <v>265788.0000000001</v>
      </c>
      <c r="D4" s="5" t="n">
        <v>281735.2800000001</v>
      </c>
      <c r="E4" s="5" t="n">
        <v>295822.0440000001</v>
      </c>
      <c r="F4" s="5" t="n">
        <v>307654.9257600001</v>
      </c>
      <c r="G4" s="5" t="n">
        <v>316884.5735328001</v>
      </c>
    </row>
    <row r="5">
      <c r="A5" s="3" t="inlineStr">
        <is>
          <t>收入增长率</t>
        </is>
      </c>
      <c r="B5" s="8" t="n">
        <v>0.08</v>
      </c>
      <c r="C5" s="8" t="n">
        <v>0.07000000000000001</v>
      </c>
      <c r="D5" s="8" t="n">
        <v>0.06</v>
      </c>
      <c r="E5" s="8" t="n">
        <v>0.05</v>
      </c>
      <c r="F5" s="8" t="n">
        <v>0.04</v>
      </c>
      <c r="G5" s="8" t="n">
        <v>0.03</v>
      </c>
    </row>
    <row r="7">
      <c r="A7" s="4" t="inlineStr">
        <is>
          <t>二、利润预测</t>
        </is>
      </c>
      <c r="B7" s="20" t="n"/>
      <c r="C7" s="20" t="n"/>
      <c r="D7" s="20" t="n"/>
      <c r="E7" s="20" t="n"/>
      <c r="F7" s="20" t="n"/>
      <c r="G7" s="20" t="n"/>
      <c r="H7" s="20" t="n"/>
      <c r="I7" s="20" t="n"/>
      <c r="J7" s="21" t="n"/>
    </row>
    <row r="8">
      <c r="A8" s="1" t="inlineStr">
        <is>
          <t>项目</t>
        </is>
      </c>
      <c r="B8" s="1" t="inlineStr">
        <is>
          <t>2026E</t>
        </is>
      </c>
      <c r="C8" s="1" t="inlineStr">
        <is>
          <t>2027E</t>
        </is>
      </c>
      <c r="D8" s="1" t="inlineStr">
        <is>
          <t>2028E</t>
        </is>
      </c>
      <c r="E8" s="1" t="inlineStr">
        <is>
          <t>2029E</t>
        </is>
      </c>
      <c r="F8" s="1" t="inlineStr">
        <is>
          <t>2030E</t>
        </is>
      </c>
      <c r="G8" s="1" t="inlineStr">
        <is>
          <t>2031E</t>
        </is>
      </c>
    </row>
    <row r="9">
      <c r="A9" s="3" t="inlineStr">
        <is>
          <t>EBIT(万元)</t>
        </is>
      </c>
      <c r="B9" s="5" t="n">
        <v>54648.00000000001</v>
      </c>
      <c r="C9" s="5" t="n">
        <v>58473.36000000002</v>
      </c>
      <c r="D9" s="5" t="n">
        <v>61981.76160000002</v>
      </c>
      <c r="E9" s="5" t="n">
        <v>65080.84968000002</v>
      </c>
      <c r="F9" s="5" t="n">
        <v>67684.08366720003</v>
      </c>
      <c r="G9" s="5" t="n">
        <v>69714.60617721603</v>
      </c>
    </row>
    <row r="10">
      <c r="A10" s="6" t="inlineStr">
        <is>
          <t>NOPAT = EBIT×(1-T)(万元)</t>
        </is>
      </c>
      <c r="B10" s="7" t="n">
        <v>46450.8</v>
      </c>
      <c r="C10" s="7" t="n">
        <v>49702.35600000001</v>
      </c>
      <c r="D10" s="7" t="n">
        <v>52684.49736000002</v>
      </c>
      <c r="E10" s="7" t="n">
        <v>55318.72222800001</v>
      </c>
      <c r="F10" s="7" t="n">
        <v>57531.47111712003</v>
      </c>
      <c r="G10" s="7" t="n">
        <v>59257.41525063362</v>
      </c>
    </row>
    <row r="12">
      <c r="A12" s="4" t="inlineStr">
        <is>
          <t>三、FCFF 计算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  <c r="J12" s="21" t="n"/>
    </row>
    <row r="13">
      <c r="A13" s="1" t="inlineStr">
        <is>
          <t>项目</t>
        </is>
      </c>
      <c r="B13" s="1" t="inlineStr">
        <is>
          <t>2026E</t>
        </is>
      </c>
      <c r="C13" s="1" t="inlineStr">
        <is>
          <t>2027E</t>
        </is>
      </c>
      <c r="D13" s="1" t="inlineStr">
        <is>
          <t>2028E</t>
        </is>
      </c>
      <c r="E13" s="1" t="inlineStr">
        <is>
          <t>2029E</t>
        </is>
      </c>
      <c r="F13" s="1" t="inlineStr">
        <is>
          <t>2030E</t>
        </is>
      </c>
      <c r="G13" s="1" t="inlineStr">
        <is>
          <t>2031E</t>
        </is>
      </c>
    </row>
    <row r="14">
      <c r="A14" s="3" t="inlineStr">
        <is>
          <t>NOPAT</t>
        </is>
      </c>
      <c r="B14" s="5" t="n">
        <v>46450.8</v>
      </c>
      <c r="C14" s="5" t="n">
        <v>49702.35600000001</v>
      </c>
      <c r="D14" s="5" t="n">
        <v>52684.49736000002</v>
      </c>
      <c r="E14" s="5" t="n">
        <v>55318.72222800001</v>
      </c>
      <c r="F14" s="5" t="n">
        <v>57531.47111712003</v>
      </c>
      <c r="G14" s="5" t="n">
        <v>59257.41525063362</v>
      </c>
    </row>
    <row r="15">
      <c r="A15" s="3" t="inlineStr">
        <is>
          <t>+ 折旧摊销</t>
        </is>
      </c>
      <c r="B15" s="5" t="n">
        <v>16275</v>
      </c>
      <c r="C15" s="5" t="n">
        <v>17088.75</v>
      </c>
      <c r="D15" s="5" t="n">
        <v>17943.1875</v>
      </c>
      <c r="E15" s="5" t="n">
        <v>18840.346875</v>
      </c>
      <c r="F15" s="5" t="n">
        <v>19782.36421875</v>
      </c>
      <c r="G15" s="5" t="n">
        <v>20771.4824296875</v>
      </c>
    </row>
    <row r="16">
      <c r="A16" s="3" t="inlineStr">
        <is>
          <t>- CAPEX</t>
        </is>
      </c>
      <c r="B16" s="5" t="n">
        <v>-25000</v>
      </c>
      <c r="C16" s="5" t="n">
        <v>-25000</v>
      </c>
      <c r="D16" s="5" t="n">
        <v>-25000</v>
      </c>
      <c r="E16" s="5" t="n">
        <v>-25000</v>
      </c>
      <c r="F16" s="5" t="n">
        <v>-25000</v>
      </c>
      <c r="G16" s="5" t="n">
        <v>-25000</v>
      </c>
    </row>
    <row r="17">
      <c r="A17" s="3" t="inlineStr">
        <is>
          <t>- ΔNWC</t>
        </is>
      </c>
      <c r="B17" s="5" t="n">
        <v>-3680.000000000007</v>
      </c>
      <c r="C17" s="5" t="n">
        <v>-3477.600000000006</v>
      </c>
      <c r="D17" s="5" t="n">
        <v>-3189.456000000006</v>
      </c>
      <c r="E17" s="5" t="n">
        <v>-2817.352800000008</v>
      </c>
      <c r="F17" s="5" t="n">
        <v>-2366.576352000004</v>
      </c>
      <c r="G17" s="5" t="n">
        <v>-1845.929554559996</v>
      </c>
    </row>
    <row r="18">
      <c r="A18" s="6">
        <f> FCFF</f>
        <v/>
      </c>
      <c r="B18" s="7" t="n">
        <v>34045.8</v>
      </c>
      <c r="C18" s="7" t="n">
        <v>38313.50600000001</v>
      </c>
      <c r="D18" s="7" t="n">
        <v>42438.22886</v>
      </c>
      <c r="E18" s="7" t="n">
        <v>46341.71630300001</v>
      </c>
      <c r="F18" s="7" t="n">
        <v>49947.25898387002</v>
      </c>
      <c r="G18" s="7" t="n">
        <v>53182.96812576113</v>
      </c>
    </row>
    <row r="20">
      <c r="A20" s="4" t="inlineStr">
        <is>
          <t>四、DCF 折现（WACC=8.80%）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1" t="n"/>
    </row>
    <row r="21">
      <c r="A21" s="1" t="inlineStr">
        <is>
          <t>项目</t>
        </is>
      </c>
      <c r="B21" s="1" t="inlineStr">
        <is>
          <t>2026E</t>
        </is>
      </c>
      <c r="C21" s="1" t="inlineStr">
        <is>
          <t>2027E</t>
        </is>
      </c>
      <c r="D21" s="1" t="inlineStr">
        <is>
          <t>2028E</t>
        </is>
      </c>
      <c r="E21" s="1" t="inlineStr">
        <is>
          <t>2029E</t>
        </is>
      </c>
      <c r="F21" s="1" t="inlineStr">
        <is>
          <t>2030E</t>
        </is>
      </c>
      <c r="G21" s="1" t="inlineStr">
        <is>
          <t>2031E</t>
        </is>
      </c>
    </row>
    <row r="22">
      <c r="A22" s="3" t="inlineStr">
        <is>
          <t>折现因子</t>
        </is>
      </c>
      <c r="B22" s="5" t="n">
        <v>0.9191176470588235</v>
      </c>
      <c r="C22" s="5" t="n">
        <v>0.844777249134948</v>
      </c>
      <c r="D22" s="5" t="n">
        <v>0.7764496775137389</v>
      </c>
      <c r="E22" s="5" t="n">
        <v>0.71364860065601</v>
      </c>
      <c r="F22" s="5" t="n">
        <v>0.6559270226617738</v>
      </c>
      <c r="G22" s="5" t="n">
        <v>0.6028741017111892</v>
      </c>
    </row>
    <row r="23">
      <c r="A23" s="6" t="inlineStr">
        <is>
          <t>PV(FCFF)(万元)</t>
        </is>
      </c>
      <c r="B23" s="7" t="n">
        <v>31292.09558823529</v>
      </c>
      <c r="C23" s="7" t="n">
        <v>32366.37820339533</v>
      </c>
      <c r="D23" s="7" t="n">
        <v>32951.14911260125</v>
      </c>
      <c r="E23" s="7" t="n">
        <v>33071.70099163376</v>
      </c>
      <c r="F23" s="7" t="n">
        <v>32761.7568754064</v>
      </c>
      <c r="G23" s="7" t="n">
        <v>32062.63413515305</v>
      </c>
    </row>
    <row r="25">
      <c r="A25" s="4" t="inlineStr">
        <is>
          <t>五、估值结果</t>
        </is>
      </c>
      <c r="B25" s="20" t="n"/>
      <c r="C25" s="20" t="n"/>
      <c r="D25" s="20" t="n"/>
      <c r="E25" s="20" t="n"/>
      <c r="F25" s="20" t="n"/>
      <c r="G25" s="20" t="n"/>
      <c r="H25" s="20" t="n"/>
      <c r="I25" s="20" t="n"/>
      <c r="J25" s="21" t="n"/>
    </row>
    <row r="26">
      <c r="A26" s="3" t="inlineStr">
        <is>
          <t>PV(预测期FCFF)(万元)</t>
        </is>
      </c>
      <c r="B26" s="13" t="inlineStr">
        <is>
          <t>194,505.71</t>
        </is>
      </c>
    </row>
    <row r="27">
      <c r="A27" s="3" t="inlineStr">
        <is>
          <t>终值 TV(万元)</t>
        </is>
      </c>
      <c r="B27" s="13" t="inlineStr">
        <is>
          <t>797,744.52</t>
        </is>
      </c>
    </row>
    <row r="28">
      <c r="A28" s="3" t="inlineStr">
        <is>
          <t>PV(终值)(万元)</t>
        </is>
      </c>
      <c r="B28" s="13" t="inlineStr">
        <is>
          <t>480,939.51</t>
        </is>
      </c>
    </row>
    <row r="29">
      <c r="A29" s="3" t="inlineStr">
        <is>
          <t>终值占比</t>
        </is>
      </c>
      <c r="B29" s="13" t="inlineStr">
        <is>
          <t>71.2%</t>
        </is>
      </c>
    </row>
    <row r="30">
      <c r="A30" s="2" t="inlineStr">
        <is>
          <t>企业价值 EV(万元)</t>
        </is>
      </c>
      <c r="B30" s="14" t="inlineStr">
        <is>
          <t>675,445.23</t>
        </is>
      </c>
    </row>
    <row r="31">
      <c r="A31" s="3" t="inlineStr">
        <is>
          <t>+ 货币资金(万元)</t>
        </is>
      </c>
      <c r="B31" s="13" t="inlineStr">
        <is>
          <t>50,000.00</t>
        </is>
      </c>
    </row>
    <row r="32">
      <c r="A32" s="3" t="inlineStr">
        <is>
          <t>- 有息负债(万元)</t>
        </is>
      </c>
      <c r="B32" s="13" t="inlineStr">
        <is>
          <t>-120,000.00</t>
        </is>
      </c>
    </row>
    <row r="33">
      <c r="A33" s="3" t="inlineStr">
        <is>
          <t>- 少数股东权益(万元)</t>
        </is>
      </c>
      <c r="B33" s="13" t="inlineStr">
        <is>
          <t>-5,000.00</t>
        </is>
      </c>
    </row>
    <row r="34">
      <c r="A34" s="2">
        <f> 股权价值(万元)</f>
        <v/>
      </c>
      <c r="B34" s="14" t="inlineStr">
        <is>
          <t>600,445.23</t>
        </is>
      </c>
    </row>
    <row r="35">
      <c r="A35" s="3" t="inlineStr">
        <is>
          <t>总股本(万股)</t>
        </is>
      </c>
      <c r="B35" s="13" t="inlineStr">
        <is>
          <t>60,000</t>
        </is>
      </c>
    </row>
    <row r="36">
      <c r="A36" s="2" t="inlineStr">
        <is>
          <t>每股价值(元)</t>
        </is>
      </c>
      <c r="B36" s="14" t="inlineStr">
        <is>
          <t>10.01</t>
        </is>
      </c>
    </row>
  </sheetData>
  <mergeCells count="6">
    <mergeCell ref="A1:J1"/>
    <mergeCell ref="A12:J12"/>
    <mergeCell ref="A7:J7"/>
    <mergeCell ref="A20:J20"/>
    <mergeCell ref="A2:J2"/>
    <mergeCell ref="A25:J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标的公司FCFF 预测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标的公司: 某矿业标的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>
        <is>
          <t>项目</t>
        </is>
      </c>
      <c r="B3" s="1" t="inlineStr">
        <is>
          <t>2026E</t>
        </is>
      </c>
      <c r="C3" s="1" t="inlineStr">
        <is>
          <t>2027E</t>
        </is>
      </c>
      <c r="D3" s="1" t="inlineStr">
        <is>
          <t>2028E</t>
        </is>
      </c>
      <c r="E3" s="1" t="inlineStr">
        <is>
          <t>2029E</t>
        </is>
      </c>
      <c r="F3" s="1" t="inlineStr">
        <is>
          <t>2030E</t>
        </is>
      </c>
      <c r="G3" s="1" t="inlineStr">
        <is>
          <t>2031E</t>
        </is>
      </c>
    </row>
    <row r="4">
      <c r="A4" s="3" t="inlineStr">
        <is>
          <t>产能爬坡</t>
        </is>
      </c>
      <c r="B4" s="8" t="n">
        <v>0</v>
      </c>
      <c r="C4" s="8" t="n">
        <v>0</v>
      </c>
      <c r="D4" s="8" t="n">
        <v>0.75</v>
      </c>
      <c r="E4" s="8" t="n">
        <v>1</v>
      </c>
      <c r="F4" s="8" t="n">
        <v>1</v>
      </c>
      <c r="G4" s="8" t="n">
        <v>1</v>
      </c>
    </row>
    <row r="5">
      <c r="A5" s="3" t="inlineStr">
        <is>
          <t>收入(万元)</t>
        </is>
      </c>
      <c r="B5" s="5" t="n">
        <v>0</v>
      </c>
      <c r="C5" s="5" t="n">
        <v>0</v>
      </c>
      <c r="D5" s="5" t="n">
        <v>90000</v>
      </c>
      <c r="E5" s="5" t="n">
        <v>120000</v>
      </c>
      <c r="F5" s="5" t="n">
        <v>120000</v>
      </c>
      <c r="G5" s="5" t="n">
        <v>120000</v>
      </c>
    </row>
    <row r="6">
      <c r="A6" s="3" t="inlineStr">
        <is>
          <t>EBIT(万元)</t>
        </is>
      </c>
      <c r="B6" s="5" t="n">
        <v>0</v>
      </c>
      <c r="C6" s="5" t="n">
        <v>0</v>
      </c>
      <c r="D6" s="5" t="n">
        <v>22500</v>
      </c>
      <c r="E6" s="5" t="n">
        <v>30000</v>
      </c>
      <c r="F6" s="5" t="n">
        <v>30000</v>
      </c>
      <c r="G6" s="5" t="n">
        <v>30000</v>
      </c>
    </row>
    <row r="7">
      <c r="A7" s="6" t="inlineStr">
        <is>
          <t>NOPAT(万元)</t>
        </is>
      </c>
      <c r="B7" s="7" t="n">
        <v>0</v>
      </c>
      <c r="C7" s="7" t="n">
        <v>0</v>
      </c>
      <c r="D7" s="7" t="n">
        <v>19125</v>
      </c>
      <c r="E7" s="7" t="n">
        <v>25500</v>
      </c>
      <c r="F7" s="7" t="n">
        <v>25500</v>
      </c>
      <c r="G7" s="7" t="n">
        <v>25500</v>
      </c>
    </row>
    <row r="8">
      <c r="A8" s="3" t="inlineStr">
        <is>
          <t>D&amp;A</t>
        </is>
      </c>
      <c r="B8" s="5" t="n">
        <v>960</v>
      </c>
      <c r="C8" s="5" t="n">
        <v>960</v>
      </c>
      <c r="D8" s="5" t="n">
        <v>7200</v>
      </c>
      <c r="E8" s="5" t="n">
        <v>9600</v>
      </c>
      <c r="F8" s="5" t="n">
        <v>9600</v>
      </c>
      <c r="G8" s="5" t="n">
        <v>9600</v>
      </c>
    </row>
    <row r="9">
      <c r="A9" s="3" t="inlineStr">
        <is>
          <t>CAPEX</t>
        </is>
      </c>
      <c r="B9" s="5" t="n">
        <v>-40000</v>
      </c>
      <c r="C9" s="5" t="n">
        <v>-44372</v>
      </c>
      <c r="D9" s="5" t="n">
        <v>0</v>
      </c>
      <c r="E9" s="5" t="n">
        <v>0</v>
      </c>
      <c r="F9" s="5" t="n">
        <v>0</v>
      </c>
      <c r="G9" s="5" t="n">
        <v>0</v>
      </c>
    </row>
    <row r="10">
      <c r="A10" s="3" t="inlineStr">
        <is>
          <t>ΔNWC</t>
        </is>
      </c>
      <c r="B10" s="5" t="n">
        <v>0</v>
      </c>
      <c r="C10" s="5" t="n">
        <v>0</v>
      </c>
      <c r="D10" s="5" t="n">
        <v>-13500</v>
      </c>
      <c r="E10" s="5" t="n">
        <v>-4500</v>
      </c>
      <c r="F10" s="5" t="n">
        <v>0</v>
      </c>
      <c r="G10" s="5" t="n">
        <v>0</v>
      </c>
    </row>
    <row r="11">
      <c r="A11" s="6" t="inlineStr">
        <is>
          <t>FCFF</t>
        </is>
      </c>
      <c r="B11" s="7" t="n">
        <v>-39040</v>
      </c>
      <c r="C11" s="7" t="n">
        <v>-43412</v>
      </c>
      <c r="D11" s="7" t="n">
        <v>12825</v>
      </c>
      <c r="E11" s="7" t="n">
        <v>30600</v>
      </c>
      <c r="F11" s="7" t="n">
        <v>35100</v>
      </c>
      <c r="G11" s="7" t="n">
        <v>35100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备考合并DCF (合并口径)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一、收入预测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>
        <is>
          <t>项目</t>
        </is>
      </c>
      <c r="B3" s="1" t="inlineStr">
        <is>
          <t>2026E</t>
        </is>
      </c>
      <c r="C3" s="1" t="inlineStr">
        <is>
          <t>2027E</t>
        </is>
      </c>
      <c r="D3" s="1" t="inlineStr">
        <is>
          <t>2028E</t>
        </is>
      </c>
      <c r="E3" s="1" t="inlineStr">
        <is>
          <t>2029E</t>
        </is>
      </c>
      <c r="F3" s="1" t="inlineStr">
        <is>
          <t>2030E</t>
        </is>
      </c>
      <c r="G3" s="1" t="inlineStr">
        <is>
          <t>2031E</t>
        </is>
      </c>
    </row>
    <row r="4">
      <c r="A4" s="3" t="inlineStr">
        <is>
          <t>营业收入(万元)</t>
        </is>
      </c>
      <c r="B4" s="5" t="n">
        <v>248400</v>
      </c>
      <c r="C4" s="5" t="n">
        <v>265788.0000000001</v>
      </c>
      <c r="D4" s="5" t="n">
        <v>281735.2800000001</v>
      </c>
      <c r="E4" s="5" t="n">
        <v>295822.0440000001</v>
      </c>
      <c r="F4" s="5" t="n">
        <v>307654.9257600001</v>
      </c>
      <c r="G4" s="5" t="n">
        <v>316884.5735328001</v>
      </c>
    </row>
    <row r="5">
      <c r="A5" s="3" t="inlineStr">
        <is>
          <t>收入增长率</t>
        </is>
      </c>
      <c r="B5" s="8" t="n">
        <v>0.08</v>
      </c>
      <c r="C5" s="8" t="n">
        <v>0.07000000000000001</v>
      </c>
      <c r="D5" s="8" t="n">
        <v>0.06</v>
      </c>
      <c r="E5" s="8" t="n">
        <v>0.05</v>
      </c>
      <c r="F5" s="8" t="n">
        <v>0.04</v>
      </c>
      <c r="G5" s="8" t="n">
        <v>0.03</v>
      </c>
    </row>
    <row r="7">
      <c r="A7" s="4" t="inlineStr">
        <is>
          <t>二、利润预测</t>
        </is>
      </c>
      <c r="B7" s="20" t="n"/>
      <c r="C7" s="20" t="n"/>
      <c r="D7" s="20" t="n"/>
      <c r="E7" s="20" t="n"/>
      <c r="F7" s="20" t="n"/>
      <c r="G7" s="20" t="n"/>
      <c r="H7" s="20" t="n"/>
      <c r="I7" s="20" t="n"/>
      <c r="J7" s="21" t="n"/>
    </row>
    <row r="8">
      <c r="A8" s="1" t="inlineStr">
        <is>
          <t>项目</t>
        </is>
      </c>
      <c r="B8" s="1" t="inlineStr">
        <is>
          <t>2026E</t>
        </is>
      </c>
      <c r="C8" s="1" t="inlineStr">
        <is>
          <t>2027E</t>
        </is>
      </c>
      <c r="D8" s="1" t="inlineStr">
        <is>
          <t>2028E</t>
        </is>
      </c>
      <c r="E8" s="1" t="inlineStr">
        <is>
          <t>2029E</t>
        </is>
      </c>
      <c r="F8" s="1" t="inlineStr">
        <is>
          <t>2030E</t>
        </is>
      </c>
      <c r="G8" s="1" t="inlineStr">
        <is>
          <t>2031E</t>
        </is>
      </c>
    </row>
    <row r="9">
      <c r="A9" s="3" t="inlineStr">
        <is>
          <t>EBIT(万元)</t>
        </is>
      </c>
      <c r="B9" s="5" t="n">
        <v>54648.00000000001</v>
      </c>
      <c r="C9" s="5" t="n">
        <v>58473.36000000002</v>
      </c>
      <c r="D9" s="5" t="n">
        <v>61981.76160000002</v>
      </c>
      <c r="E9" s="5" t="n">
        <v>65080.84968000002</v>
      </c>
      <c r="F9" s="5" t="n">
        <v>67684.08366720003</v>
      </c>
      <c r="G9" s="5" t="n">
        <v>69714.60617721603</v>
      </c>
    </row>
    <row r="10">
      <c r="A10" s="6" t="inlineStr">
        <is>
          <t>NOPAT = EBIT×(1-T)(万元)</t>
        </is>
      </c>
      <c r="B10" s="7" t="n">
        <v>46450.8</v>
      </c>
      <c r="C10" s="7" t="n">
        <v>49702.35600000001</v>
      </c>
      <c r="D10" s="7" t="n">
        <v>52684.49736000002</v>
      </c>
      <c r="E10" s="7" t="n">
        <v>55318.72222800001</v>
      </c>
      <c r="F10" s="7" t="n">
        <v>57531.47111712003</v>
      </c>
      <c r="G10" s="7" t="n">
        <v>59257.41525063362</v>
      </c>
    </row>
    <row r="12">
      <c r="A12" s="4" t="inlineStr">
        <is>
          <t>三、FCFF 计算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  <c r="J12" s="21" t="n"/>
    </row>
    <row r="13">
      <c r="A13" s="1" t="inlineStr">
        <is>
          <t>项目</t>
        </is>
      </c>
      <c r="B13" s="1" t="inlineStr">
        <is>
          <t>2026E</t>
        </is>
      </c>
      <c r="C13" s="1" t="inlineStr">
        <is>
          <t>2027E</t>
        </is>
      </c>
      <c r="D13" s="1" t="inlineStr">
        <is>
          <t>2028E</t>
        </is>
      </c>
      <c r="E13" s="1" t="inlineStr">
        <is>
          <t>2029E</t>
        </is>
      </c>
      <c r="F13" s="1" t="inlineStr">
        <is>
          <t>2030E</t>
        </is>
      </c>
      <c r="G13" s="1" t="inlineStr">
        <is>
          <t>2031E</t>
        </is>
      </c>
    </row>
    <row r="14">
      <c r="A14" s="3" t="inlineStr">
        <is>
          <t>NOPAT</t>
        </is>
      </c>
      <c r="B14" s="5" t="n">
        <v>46450.8</v>
      </c>
      <c r="C14" s="5" t="n">
        <v>49702.35600000001</v>
      </c>
      <c r="D14" s="5" t="n">
        <v>52684.49736000002</v>
      </c>
      <c r="E14" s="5" t="n">
        <v>55318.72222800001</v>
      </c>
      <c r="F14" s="5" t="n">
        <v>57531.47111712003</v>
      </c>
      <c r="G14" s="5" t="n">
        <v>59257.41525063362</v>
      </c>
    </row>
    <row r="15">
      <c r="A15" s="3" t="inlineStr">
        <is>
          <t>+ 折旧摊销</t>
        </is>
      </c>
      <c r="B15" s="5" t="n">
        <v>16275</v>
      </c>
      <c r="C15" s="5" t="n">
        <v>17088.75</v>
      </c>
      <c r="D15" s="5" t="n">
        <v>17943.1875</v>
      </c>
      <c r="E15" s="5" t="n">
        <v>18840.346875</v>
      </c>
      <c r="F15" s="5" t="n">
        <v>19782.36421875</v>
      </c>
      <c r="G15" s="5" t="n">
        <v>20771.4824296875</v>
      </c>
    </row>
    <row r="16">
      <c r="A16" s="3" t="inlineStr">
        <is>
          <t>- CAPEX</t>
        </is>
      </c>
      <c r="B16" s="5" t="n">
        <v>-25000</v>
      </c>
      <c r="C16" s="5" t="n">
        <v>-25000</v>
      </c>
      <c r="D16" s="5" t="n">
        <v>-25000</v>
      </c>
      <c r="E16" s="5" t="n">
        <v>-25000</v>
      </c>
      <c r="F16" s="5" t="n">
        <v>-25000</v>
      </c>
      <c r="G16" s="5" t="n">
        <v>-25000</v>
      </c>
    </row>
    <row r="17">
      <c r="A17" s="3" t="inlineStr">
        <is>
          <t>- ΔNWC</t>
        </is>
      </c>
      <c r="B17" s="5" t="n">
        <v>-3680.000000000007</v>
      </c>
      <c r="C17" s="5" t="n">
        <v>-3477.600000000006</v>
      </c>
      <c r="D17" s="5" t="n">
        <v>-3189.456000000006</v>
      </c>
      <c r="E17" s="5" t="n">
        <v>-2817.352800000008</v>
      </c>
      <c r="F17" s="5" t="n">
        <v>-2366.576352000004</v>
      </c>
      <c r="G17" s="5" t="n">
        <v>-1845.929554559996</v>
      </c>
    </row>
    <row r="18">
      <c r="A18" s="6">
        <f> FCFF</f>
        <v/>
      </c>
      <c r="B18" s="7" t="n">
        <v>39152.66999999999</v>
      </c>
      <c r="C18" s="7" t="n">
        <v>44060.53190000001</v>
      </c>
      <c r="D18" s="7" t="n">
        <v>48803.963189</v>
      </c>
      <c r="E18" s="7" t="n">
        <v>53292.97374845001</v>
      </c>
      <c r="F18" s="7" t="n">
        <v>57439.34783145052</v>
      </c>
      <c r="G18" s="7" t="n">
        <v>61160.4133446253</v>
      </c>
    </row>
    <row r="20">
      <c r="A20" s="4" t="inlineStr">
        <is>
          <t>四、DCF 折现（WACC=9.10%）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1" t="n"/>
    </row>
    <row r="21">
      <c r="A21" s="1" t="inlineStr">
        <is>
          <t>项目</t>
        </is>
      </c>
      <c r="B21" s="1" t="inlineStr">
        <is>
          <t>2026E</t>
        </is>
      </c>
      <c r="C21" s="1" t="inlineStr">
        <is>
          <t>2027E</t>
        </is>
      </c>
      <c r="D21" s="1" t="inlineStr">
        <is>
          <t>2028E</t>
        </is>
      </c>
      <c r="E21" s="1" t="inlineStr">
        <is>
          <t>2029E</t>
        </is>
      </c>
      <c r="F21" s="1" t="inlineStr">
        <is>
          <t>2030E</t>
        </is>
      </c>
      <c r="G21" s="1" t="inlineStr">
        <is>
          <t>2031E</t>
        </is>
      </c>
    </row>
    <row r="22">
      <c r="A22" s="3" t="inlineStr">
        <is>
          <t>折现因子</t>
        </is>
      </c>
      <c r="B22" s="5" t="n">
        <v>0.9165902841429882</v>
      </c>
      <c r="C22" s="5" t="n">
        <v>0.8401377489853237</v>
      </c>
      <c r="D22" s="5" t="n">
        <v>0.7700620980617082</v>
      </c>
      <c r="E22" s="5" t="n">
        <v>0.7058314372701268</v>
      </c>
      <c r="F22" s="5" t="n">
        <v>0.6469582376444791</v>
      </c>
      <c r="G22" s="5" t="n">
        <v>0.5929956348712</v>
      </c>
    </row>
    <row r="23">
      <c r="A23" s="6" t="inlineStr">
        <is>
          <t>PV(FCFF)(万元)</t>
        </is>
      </c>
      <c r="B23" s="7" t="n">
        <v>35886.95692025664</v>
      </c>
      <c r="C23" s="7" t="n">
        <v>37016.91608956205</v>
      </c>
      <c r="D23" s="7" t="n">
        <v>37582.08228704772</v>
      </c>
      <c r="E23" s="7" t="n">
        <v>37615.8562572676</v>
      </c>
      <c r="F23" s="7" t="n">
        <v>37160.85924448346</v>
      </c>
      <c r="G23" s="7" t="n">
        <v>36267.85814028109</v>
      </c>
    </row>
    <row r="25">
      <c r="A25" s="4" t="inlineStr">
        <is>
          <t>五、估值结果</t>
        </is>
      </c>
      <c r="B25" s="20" t="n"/>
      <c r="C25" s="20" t="n"/>
      <c r="D25" s="20" t="n"/>
      <c r="E25" s="20" t="n"/>
      <c r="F25" s="20" t="n"/>
      <c r="G25" s="20" t="n"/>
      <c r="H25" s="20" t="n"/>
      <c r="I25" s="20" t="n"/>
      <c r="J25" s="21" t="n"/>
    </row>
    <row r="26">
      <c r="A26" s="3" t="inlineStr">
        <is>
          <t>PV(预测期FCFF)(万元)</t>
        </is>
      </c>
      <c r="B26" s="13" t="inlineStr">
        <is>
          <t>221,530.53</t>
        </is>
      </c>
    </row>
    <row r="27">
      <c r="A27" s="3" t="inlineStr">
        <is>
          <t>终值 TV(万元)</t>
        </is>
      </c>
      <c r="B27" s="13" t="inlineStr">
        <is>
          <t>878,642.56</t>
        </is>
      </c>
    </row>
    <row r="28">
      <c r="A28" s="3" t="inlineStr">
        <is>
          <t>PV(终值)(万元)</t>
        </is>
      </c>
      <c r="B28" s="13" t="inlineStr">
        <is>
          <t>521,031.20</t>
        </is>
      </c>
    </row>
    <row r="29">
      <c r="A29" s="3" t="inlineStr">
        <is>
          <t>终值占比</t>
        </is>
      </c>
      <c r="B29" s="13" t="inlineStr">
        <is>
          <t>70.2%</t>
        </is>
      </c>
    </row>
    <row r="30">
      <c r="A30" s="2" t="inlineStr">
        <is>
          <t>企业价值 EV(万元)</t>
        </is>
      </c>
      <c r="B30" s="14" t="inlineStr">
        <is>
          <t>742,561.73</t>
        </is>
      </c>
    </row>
    <row r="31">
      <c r="A31" s="3" t="inlineStr">
        <is>
          <t>+ 货币资金(万元)</t>
        </is>
      </c>
      <c r="B31" s="13" t="inlineStr">
        <is>
          <t>50,000.00</t>
        </is>
      </c>
    </row>
    <row r="32">
      <c r="A32" s="3" t="inlineStr">
        <is>
          <t>- 有息负债(万元)</t>
        </is>
      </c>
      <c r="B32" s="13" t="inlineStr">
        <is>
          <t>-120,000.00</t>
        </is>
      </c>
    </row>
    <row r="33">
      <c r="A33" s="3" t="inlineStr">
        <is>
          <t>- 少数股东权益(万元)</t>
        </is>
      </c>
      <c r="B33" s="13" t="inlineStr">
        <is>
          <t>-5,000.00</t>
        </is>
      </c>
    </row>
    <row r="34">
      <c r="A34" s="2">
        <f> 股权价值(万元)</f>
        <v/>
      </c>
      <c r="B34" s="14" t="inlineStr">
        <is>
          <t>667,561.73</t>
        </is>
      </c>
    </row>
    <row r="35">
      <c r="A35" s="3" t="inlineStr">
        <is>
          <t>总股本(万股)</t>
        </is>
      </c>
      <c r="B35" s="13" t="inlineStr">
        <is>
          <t>72,000</t>
        </is>
      </c>
    </row>
    <row r="36">
      <c r="A36" s="2" t="inlineStr">
        <is>
          <t>每股价值(元)</t>
        </is>
      </c>
      <c r="B36" s="14" t="inlineStr">
        <is>
          <t>9.27</t>
        </is>
      </c>
    </row>
  </sheetData>
  <mergeCells count="6">
    <mergeCell ref="A1:J1"/>
    <mergeCell ref="A12:J12"/>
    <mergeCell ref="A7:J7"/>
    <mergeCell ref="A20:J20"/>
    <mergeCell ref="A2:J2"/>
    <mergeCell ref="A25:J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估值对比分析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独立估值 vs 合并估值 每股对比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>
        <is>
          <t>情景</t>
        </is>
      </c>
      <c r="B3" s="1" t="inlineStr">
        <is>
          <t>每股价值(元)</t>
        </is>
      </c>
      <c r="C3" s="1" t="inlineStr">
        <is>
          <t>股数(万股)</t>
        </is>
      </c>
      <c r="D3" s="1" t="inlineStr">
        <is>
          <t>股权价值(万元)</t>
        </is>
      </c>
    </row>
    <row r="4">
      <c r="A4" s="12" t="inlineStr">
        <is>
          <t>独立DCF</t>
        </is>
      </c>
      <c r="B4" s="12" t="inlineStr">
        <is>
          <t>10.01</t>
        </is>
      </c>
      <c r="C4" s="12" t="inlineStr">
        <is>
          <t>60,000</t>
        </is>
      </c>
      <c r="D4" s="12" t="inlineStr">
        <is>
          <t>600,445</t>
        </is>
      </c>
    </row>
    <row r="5">
      <c r="A5" s="12" t="inlineStr">
        <is>
          <t>合并DCF</t>
        </is>
      </c>
      <c r="B5" s="12" t="inlineStr">
        <is>
          <t>9.27</t>
        </is>
      </c>
      <c r="C5" s="12" t="inlineStr">
        <is>
          <t>72,000</t>
        </is>
      </c>
      <c r="D5" s="12" t="inlineStr">
        <is>
          <t>667,562</t>
        </is>
      </c>
    </row>
    <row r="7">
      <c r="A7" s="2" t="inlineStr">
        <is>
          <t>每股价值差异: -0.74 元</t>
        </is>
      </c>
      <c r="B7" s="15" t="inlineStr">
        <is>
          <t>⚠ 稀释股东价值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敏感性分析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WACC × g 敏感性矩阵 (每股价值, 元)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/>
      <c r="B3" s="1" t="inlineStr">
        <is>
          <t>g=1.0%</t>
        </is>
      </c>
      <c r="C3" s="1" t="inlineStr">
        <is>
          <t>g=1.5%</t>
        </is>
      </c>
      <c r="D3" s="1" t="inlineStr">
        <is>
          <t>g=2.0%</t>
        </is>
      </c>
      <c r="E3" s="1" t="inlineStr">
        <is>
          <t>g=2.5%</t>
        </is>
      </c>
      <c r="F3" s="1" t="inlineStr">
        <is>
          <t>g=3.0%</t>
        </is>
      </c>
    </row>
    <row r="4">
      <c r="A4" s="12" t="inlineStr">
        <is>
          <t>WACC=7.0%</t>
        </is>
      </c>
      <c r="B4" s="16" t="n">
        <v>12.44</v>
      </c>
      <c r="C4" s="16" t="n">
        <v>13.76</v>
      </c>
      <c r="D4" s="16" t="n">
        <v>15.34</v>
      </c>
      <c r="E4" s="16" t="n">
        <v>17.28</v>
      </c>
      <c r="F4" s="16" t="n">
        <v>19.69</v>
      </c>
    </row>
    <row r="5">
      <c r="A5" s="12" t="inlineStr">
        <is>
          <t>WACC=8.0%</t>
        </is>
      </c>
      <c r="B5" s="16" t="n">
        <v>9.85</v>
      </c>
      <c r="C5" s="16" t="n">
        <v>10.76</v>
      </c>
      <c r="D5" s="16" t="n">
        <v>11.83</v>
      </c>
      <c r="E5" s="16" t="n">
        <v>13.08</v>
      </c>
      <c r="F5" s="16" t="n">
        <v>14.59</v>
      </c>
    </row>
    <row r="6">
      <c r="A6" s="17" t="inlineStr">
        <is>
          <t>WACC=9.0%</t>
        </is>
      </c>
      <c r="B6" s="18" t="n">
        <v>7.94</v>
      </c>
      <c r="C6" s="18" t="n">
        <v>8.6</v>
      </c>
      <c r="D6" s="19" t="n">
        <v>9.35</v>
      </c>
      <c r="E6" s="16" t="n">
        <v>10.23</v>
      </c>
      <c r="F6" s="16" t="n">
        <v>11.24</v>
      </c>
    </row>
    <row r="7">
      <c r="A7" s="12" t="inlineStr">
        <is>
          <t>WACC=10.0%</t>
        </is>
      </c>
      <c r="B7" s="18" t="n">
        <v>6.48</v>
      </c>
      <c r="C7" s="18" t="n">
        <v>6.98</v>
      </c>
      <c r="D7" s="18" t="n">
        <v>7.53</v>
      </c>
      <c r="E7" s="18" t="n">
        <v>8.17</v>
      </c>
      <c r="F7" s="18" t="n">
        <v>8.890000000000001</v>
      </c>
    </row>
    <row r="8">
      <c r="A8" s="12" t="inlineStr">
        <is>
          <t>WACC=11.0%</t>
        </is>
      </c>
      <c r="B8" s="18" t="n">
        <v>5.34</v>
      </c>
      <c r="C8" s="18" t="n">
        <v>5.72</v>
      </c>
      <c r="D8" s="18" t="n">
        <v>6.15</v>
      </c>
      <c r="E8" s="18" t="n">
        <v>6.62</v>
      </c>
      <c r="F8" s="18" t="n">
        <v>7.15</v>
      </c>
    </row>
    <row r="9">
      <c r="A9" s="12" t="inlineStr">
        <is>
          <t>WACC=12.0%</t>
        </is>
      </c>
      <c r="B9" s="18" t="n">
        <v>4.43</v>
      </c>
      <c r="C9" s="18" t="n">
        <v>4.73</v>
      </c>
      <c r="D9" s="18" t="n">
        <v>5.06</v>
      </c>
      <c r="E9" s="18" t="n">
        <v>5.42</v>
      </c>
      <c r="F9" s="18" t="n">
        <v>5.83</v>
      </c>
    </row>
    <row r="10">
      <c r="A10" s="12" t="inlineStr">
        <is>
          <t>WACC=13.0%</t>
        </is>
      </c>
      <c r="B10" s="18" t="n">
        <v>3.68</v>
      </c>
      <c r="C10" s="18" t="n">
        <v>3.92</v>
      </c>
      <c r="D10" s="18" t="n">
        <v>4.19</v>
      </c>
      <c r="E10" s="18" t="n">
        <v>4.47</v>
      </c>
      <c r="F10" s="18" t="n">
        <v>4.79</v>
      </c>
    </row>
    <row r="12">
      <c r="A12" s="4" t="inlineStr">
        <is>
          <t>图例: 绿底红字=基准情景 | 绿色=高于基准 | 红色=低于基准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  <c r="J12" s="21" t="n"/>
    </row>
    <row r="13">
      <c r="A13" s="4" t="inlineStr">
        <is>
          <t>基准: WACC=9.10%, g=2.0% → 每股 9.27元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  <c r="J13" s="21" t="n"/>
    </row>
    <row r="15">
      <c r="A15" s="4" t="inlineStr">
        <is>
          <t>敏感性提示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  <c r="J15" s="21" t="n"/>
    </row>
    <row r="16">
      <c r="A16" s="3" t="inlineStr">
        <is>
          <t>WACC +1% → 每股约 8.34 元</t>
        </is>
      </c>
    </row>
    <row r="17">
      <c r="A17" s="3" t="inlineStr">
        <is>
          <t>WACC -1% → 每股约 10.66 元</t>
        </is>
      </c>
    </row>
    <row r="18">
      <c r="A18" s="3" t="inlineStr">
        <is>
          <t>g +0.5% → 每股约 10.20 元</t>
        </is>
      </c>
    </row>
  </sheetData>
  <mergeCells count="5">
    <mergeCell ref="A1:J1"/>
    <mergeCell ref="A15:J15"/>
    <mergeCell ref="A12:J12"/>
    <mergeCell ref="A2:J2"/>
    <mergeCell ref="A13:J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某并购方企业 — 关键假设清单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1" t="n"/>
    </row>
    <row r="2">
      <c r="A2" s="4" t="inlineStr">
        <is>
          <t>建模完成后强制输出（SKILL.md §13.1）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>
      <c r="A3" s="1" t="inlineStr">
        <is>
          <t>假设项</t>
        </is>
      </c>
      <c r="B3" s="1" t="inlineStr">
        <is>
          <t>本次取值</t>
        </is>
      </c>
      <c r="C3" s="1" t="inlineStr">
        <is>
          <t>依据来源</t>
        </is>
      </c>
      <c r="D3" s="1" t="inlineStr">
        <is>
          <t>调整方法</t>
        </is>
      </c>
    </row>
    <row r="4">
      <c r="A4" s="2" t="inlineStr">
        <is>
          <t>基准年收入增速</t>
        </is>
      </c>
      <c r="B4" s="12" t="inlineStr">
        <is>
          <t>8.0%</t>
        </is>
      </c>
      <c r="C4" s="3" t="inlineStr">
        <is>
          <t>Wind行业中位/历史CAGR</t>
        </is>
      </c>
      <c r="D4" s="3" t="inlineStr">
        <is>
          <t>修改 growth_rates[1]</t>
        </is>
      </c>
    </row>
    <row r="5">
      <c r="A5" s="2" t="inlineStr">
        <is>
          <t>远期增速路径</t>
        </is>
      </c>
      <c r="B5" s="12" t="inlineStr">
        <is>
          <t>8.0% → 7.0% → 6.0% → 5.0% → 4.0% → 3.0%</t>
        </is>
      </c>
      <c r="C5" s="3" t="inlineStr">
        <is>
          <t>行业趋势判断</t>
        </is>
      </c>
      <c r="D5" s="3" t="inlineStr">
        <is>
          <t>修改 growth_rates 数组</t>
        </is>
      </c>
    </row>
    <row r="6">
      <c r="A6" s="2" t="inlineStr">
        <is>
          <t>EBIT利润率</t>
        </is>
      </c>
      <c r="B6" s="12" t="inlineStr">
        <is>
          <t>22.0%</t>
        </is>
      </c>
      <c r="C6" s="3" t="inlineStr">
        <is>
          <t>近2年平均</t>
        </is>
      </c>
      <c r="D6" s="3" t="inlineStr">
        <is>
          <t>修改 ebit_margin</t>
        </is>
      </c>
    </row>
    <row r="7">
      <c r="A7" s="2" t="inlineStr">
        <is>
          <t>βU（可比均值）</t>
        </is>
      </c>
      <c r="B7" s="12" t="inlineStr">
        <is>
          <t>0.9742</t>
        </is>
      </c>
      <c r="C7" s="3" t="inlineStr">
        <is>
          <t>Wind 5家月频均值</t>
        </is>
      </c>
      <c r="D7" s="3" t="inlineStr">
        <is>
          <t>修改 bu_avg 或重拉Wind</t>
        </is>
      </c>
    </row>
    <row r="8">
      <c r="A8" s="2" t="inlineStr">
        <is>
          <t>有息负债 D/E</t>
        </is>
      </c>
      <c r="B8" s="12" t="inlineStr">
        <is>
          <t>20000.0%</t>
        </is>
      </c>
      <c r="C8" s="3" t="inlineStr">
        <is>
          <t>最近一期账面</t>
        </is>
      </c>
      <c r="D8" s="3" t="inlineStr">
        <is>
          <t>修改 debt/equity</t>
        </is>
      </c>
    </row>
    <row r="9">
      <c r="A9" s="2" t="inlineStr">
        <is>
          <t>WACC（独立/合并）</t>
        </is>
      </c>
      <c r="B9" s="12" t="inlineStr">
        <is>
          <t>8.80% / 9.10%</t>
        </is>
      </c>
      <c r="C9" s="3" t="inlineStr">
        <is>
          <t>计算值</t>
        </is>
      </c>
      <c r="D9" s="3" t="inlineStr">
        <is>
          <t>改βU/Rf/MRP/风险溢价</t>
        </is>
      </c>
    </row>
    <row r="10">
      <c r="A10" s="2" t="inlineStr">
        <is>
          <t>永续增长率 g</t>
        </is>
      </c>
      <c r="B10" s="12" t="inlineStr">
        <is>
          <t>2.0%</t>
        </is>
      </c>
      <c r="C10" s="3" t="inlineStr">
        <is>
          <t>标准假设</t>
        </is>
      </c>
      <c r="D10" s="3" t="inlineStr">
        <is>
          <t>修改 terminal_g</t>
        </is>
      </c>
    </row>
    <row r="11">
      <c r="A11" s="2" t="inlineStr">
        <is>
          <t>CAPEX（维持/年）</t>
        </is>
      </c>
      <c r="B11" s="12" t="inlineStr">
        <is>
          <t>25,000万</t>
        </is>
      </c>
      <c r="C11" s="3" t="inlineStr">
        <is>
          <t>实际历史值</t>
        </is>
      </c>
      <c r="D11" s="3" t="inlineStr">
        <is>
          <t>修改 capex_actual</t>
        </is>
      </c>
    </row>
    <row r="12">
      <c r="A12" s="2" t="inlineStr">
        <is>
          <t>D&amp;A起点</t>
        </is>
      </c>
      <c r="B12" s="12" t="inlineStr">
        <is>
          <t>15,500万</t>
        </is>
      </c>
      <c r="C12" s="3" t="inlineStr">
        <is>
          <t>财报补充资料</t>
        </is>
      </c>
      <c r="D12" s="3" t="inlineStr">
        <is>
          <t>修改 da_total</t>
        </is>
      </c>
    </row>
    <row r="13">
      <c r="A13" s="2" t="inlineStr">
        <is>
          <t>独立股数（万股）</t>
        </is>
      </c>
      <c r="B13" s="12" t="inlineStr">
        <is>
          <t>60,000</t>
        </is>
      </c>
      <c r="C13" s="3" t="inlineStr">
        <is>
          <t>估值基准日总股本</t>
        </is>
      </c>
      <c r="D13" s="3" t="inlineStr">
        <is>
          <t>修改 shares_base</t>
        </is>
      </c>
    </row>
    <row r="14">
      <c r="A14" s="2" t="inlineStr">
        <is>
          <t>合并股数（万股）</t>
        </is>
      </c>
      <c r="B14" s="12" t="inlineStr">
        <is>
          <t>72,000</t>
        </is>
      </c>
      <c r="C14" s="3" t="inlineStr">
        <is>
          <t>基准日+发行上限</t>
        </is>
      </c>
      <c r="D14" s="3" t="inlineStr">
        <is>
          <t>修改 shares_post</t>
        </is>
      </c>
    </row>
    <row r="15">
      <c r="A15" s="2" t="inlineStr">
        <is>
          <t>发行方式</t>
        </is>
      </c>
      <c r="B15" s="12" t="inlineStr">
        <is>
          <t>发股购买</t>
        </is>
      </c>
      <c r="C15" s="3" t="inlineStr">
        <is>
          <t>—</t>
        </is>
      </c>
      <c r="D15" s="3" t="inlineStr">
        <is>
          <t>—</t>
        </is>
      </c>
    </row>
    <row r="17">
      <c r="A17" s="4" t="inlineStr">
        <is>
          <t>敏感性提示 (SKILL.md §13.2)</t>
        </is>
      </c>
      <c r="B17" s="20" t="n"/>
      <c r="C17" s="20" t="n"/>
      <c r="D17" s="20" t="n"/>
      <c r="E17" s="20" t="n"/>
      <c r="F17" s="20" t="n"/>
      <c r="G17" s="20" t="n"/>
      <c r="H17" s="20" t="n"/>
      <c r="I17" s="20" t="n"/>
      <c r="J17" s="21" t="n"/>
    </row>
    <row r="18">
      <c r="A18" s="3" t="inlineStr">
        <is>
          <t xml:space="preserve">终值占比: 71.2% </t>
        </is>
      </c>
    </row>
    <row r="19">
      <c r="A19" s="3" t="inlineStr">
        <is>
          <t>WACC +1% → 每股约 9.01 元</t>
        </is>
      </c>
    </row>
    <row r="20">
      <c r="A20" s="3" t="inlineStr">
        <is>
          <t>WACC -1% → 每股约 11.51 元</t>
        </is>
      </c>
    </row>
    <row r="21">
      <c r="A21" s="3" t="inlineStr">
        <is>
          <t>g +0.5% → 每股约 11.01 元</t>
        </is>
      </c>
    </row>
    <row r="23">
      <c r="A23" s="4" t="inlineStr">
        <is>
          <t>待验证/风险提示 (SKILL.md §13.3)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  <c r="J23" s="21" t="n"/>
    </row>
    <row r="24">
      <c r="A24" s="3" t="inlineStr">
        <is>
          <t>1. βU来源于月频数据，可能偏低，建议获取日频β交叉验证</t>
        </is>
      </c>
    </row>
    <row r="25">
      <c r="A25" s="3" t="inlineStr">
        <is>
          <t>2. 募投达产时间基于在建工程进度推算，实际可能因验收/调试延迟</t>
        </is>
      </c>
    </row>
    <row r="26">
      <c r="A26" s="3" t="inlineStr">
        <is>
          <t>3. 基准日距今已超过一定时间，行业环境可能变化</t>
        </is>
      </c>
    </row>
    <row r="27">
      <c r="A27" s="3" t="inlineStr">
        <is>
          <t>4. 建议关注 WACC ±1% 区间对估值的影响</t>
        </is>
      </c>
    </row>
  </sheetData>
  <mergeCells count="4">
    <mergeCell ref="A1:J1"/>
    <mergeCell ref="A23:J23"/>
    <mergeCell ref="A2:J2"/>
    <mergeCell ref="A17:J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</cols>
  <sheetData>
    <row r="1">
      <c r="A1" s="22" t="inlineStr">
        <is>
          <t>业绩承诺可行性分析（条件启用：重组报告书含业绩承诺条款时）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</row>
    <row r="3">
      <c r="A3" s="23" t="inlineStr">
        <is>
          <t>一、业绩承诺核心条款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>
      <c r="A4" s="24" t="inlineStr">
        <is>
          <t>条款</t>
        </is>
      </c>
      <c r="B4" s="24" t="inlineStr">
        <is>
          <t>内容</t>
        </is>
      </c>
      <c r="C4" s="24" t="inlineStr"/>
      <c r="D4" s="24" t="inlineStr"/>
      <c r="E4" s="24" t="inlineStr"/>
      <c r="F4" s="24" t="inlineStr"/>
      <c r="G4" s="24" t="inlineStr"/>
      <c r="H4" s="24" t="inlineStr"/>
      <c r="I4" s="24" t="inlineStr"/>
      <c r="J4" s="24" t="inlineStr">
        <is>
          <t>数据来源</t>
        </is>
      </c>
    </row>
    <row r="5">
      <c r="A5" s="25" t="inlineStr">
        <is>
          <t>承诺方及持股比例</t>
        </is>
      </c>
    </row>
    <row r="6">
      <c r="A6" s="25" t="inlineStr">
        <is>
          <t>承诺期</t>
        </is>
      </c>
    </row>
    <row r="7">
      <c r="A7" s="25" t="inlineStr">
        <is>
          <t>各年承诺净利润</t>
        </is>
      </c>
    </row>
    <row r="8">
      <c r="A8" s="25" t="inlineStr">
        <is>
          <t>触发补偿条件</t>
        </is>
      </c>
    </row>
    <row r="9">
      <c r="A9" s="25" t="inlineStr">
        <is>
          <t>补偿方式</t>
        </is>
      </c>
    </row>
    <row r="10">
      <c r="A10" s="25" t="inlineStr">
        <is>
          <t>补偿上限</t>
        </is>
      </c>
    </row>
    <row r="11">
      <c r="A11" s="25" t="inlineStr">
        <is>
          <t>股份解锁安排</t>
        </is>
      </c>
    </row>
    <row r="12">
      <c r="A12" s="25" t="inlineStr">
        <is>
          <t>募投排除条款（如有）</t>
        </is>
      </c>
    </row>
    <row r="15">
      <c r="A15" s="23" t="inlineStr">
        <is>
          <t>二、历史实际 vs 业绩承诺 vs DCF预测 核心数据对比（T=基准年）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</row>
    <row r="16">
      <c r="A16" s="24" t="inlineStr">
        <is>
          <t>指标</t>
        </is>
      </c>
      <c r="B16" s="24" t="inlineStr">
        <is>
          <t>T-1实际</t>
        </is>
      </c>
      <c r="C16" s="24" t="inlineStr">
        <is>
          <t>T实际</t>
        </is>
      </c>
      <c r="D16" s="24" t="inlineStr">
        <is>
          <t>T+1E承诺</t>
        </is>
      </c>
      <c r="E16" s="24" t="inlineStr">
        <is>
          <t>T+2E(隐含)</t>
        </is>
      </c>
      <c r="F16" s="24" t="inlineStr">
        <is>
          <t>T+3E(隐含)</t>
        </is>
      </c>
      <c r="G16" s="24" t="inlineStr"/>
      <c r="H16" s="24" t="inlineStr"/>
      <c r="I16" s="24" t="inlineStr"/>
      <c r="J16" s="24" t="inlineStr">
        <is>
          <t>备注</t>
        </is>
      </c>
    </row>
    <row r="17">
      <c r="A17" s="25" t="inlineStr">
        <is>
          <t>营业收入（万元）</t>
        </is>
      </c>
    </row>
    <row r="18">
      <c r="A18" s="25" t="inlineStr">
        <is>
          <t>净利润（万元）</t>
        </is>
      </c>
    </row>
    <row r="19">
      <c r="A19" s="25" t="inlineStr">
        <is>
          <t>净利率</t>
        </is>
      </c>
    </row>
    <row r="20">
      <c r="A20" s="25" t="inlineStr">
        <is>
          <t>净利润增速 vs 上年</t>
        </is>
      </c>
    </row>
    <row r="21">
      <c r="A21" s="25" t="inlineStr">
        <is>
          <t>DCF隐含净利（估算）</t>
        </is>
      </c>
    </row>
    <row r="22">
      <c r="A22" s="25" t="inlineStr">
        <is>
          <t>承诺 vs DCF隐含差额</t>
        </is>
      </c>
    </row>
    <row r="25">
      <c r="A25" s="23" t="inlineStr">
        <is>
          <t>三、增长驱动力拆解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</row>
    <row r="26">
      <c r="A26" s="24" t="inlineStr">
        <is>
          <t>驱动因素</t>
        </is>
      </c>
      <c r="B26" s="24" t="inlineStr">
        <is>
          <t>T-1→T 实际</t>
        </is>
      </c>
      <c r="C26" s="24" t="inlineStr">
        <is>
          <t>T→T+1E</t>
        </is>
      </c>
      <c r="D26" s="24" t="inlineStr">
        <is>
          <t>T+1E→T+2E</t>
        </is>
      </c>
      <c r="E26" s="24" t="inlineStr">
        <is>
          <t>T+2E→T+3E</t>
        </is>
      </c>
      <c r="F26" s="24" t="inlineStr"/>
      <c r="G26" s="24" t="inlineStr"/>
      <c r="H26" s="24" t="inlineStr"/>
      <c r="I26" s="24" t="inlineStr"/>
      <c r="J26" s="24" t="inlineStr"/>
    </row>
    <row r="27">
      <c r="A27" s="25" t="inlineStr">
        <is>
          <t>净利润变化额</t>
        </is>
      </c>
    </row>
    <row r="28">
      <c r="A28" s="25" t="inlineStr">
        <is>
          <t>净利润增速</t>
        </is>
      </c>
    </row>
    <row r="29">
      <c r="A29" s="25" t="inlineStr">
        <is>
          <t>收入增速</t>
        </is>
      </c>
    </row>
    <row r="30">
      <c r="A30" s="25" t="inlineStr">
        <is>
          <t>净利率变动</t>
        </is>
      </c>
    </row>
    <row r="31">
      <c r="A31" s="25" t="inlineStr">
        <is>
          <t>期间费用率</t>
        </is>
      </c>
    </row>
    <row r="32">
      <c r="A32" s="26" t="inlineStr">
        <is>
          <t>增长主因</t>
        </is>
      </c>
    </row>
    <row r="35">
      <c r="A35" s="23" t="inlineStr">
        <is>
          <t>四、压力测试矩阵（收入增速情景 × 承诺年份）</t>
        </is>
      </c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</row>
    <row r="36">
      <c r="A36" s="24" t="inlineStr">
        <is>
          <t>收入增速情景</t>
        </is>
      </c>
      <c r="B36" s="24" t="inlineStr">
        <is>
          <t>{T+1}净利(万)</t>
        </is>
      </c>
      <c r="C36" s="24" t="inlineStr">
        <is>
          <t>{T+2}净利(万)</t>
        </is>
      </c>
      <c r="D36" s="24" t="inlineStr">
        <is>
          <t>{T+3}净利(万)</t>
        </is>
      </c>
      <c r="E36" s="24" t="inlineStr">
        <is>
          <t>N年累计</t>
        </is>
      </c>
      <c r="F36" s="24" t="inlineStr">
        <is>
          <t>触发补偿?</t>
        </is>
      </c>
      <c r="G36" s="24" t="inlineStr">
        <is>
          <t>缺口%</t>
        </is>
      </c>
      <c r="H36" s="24" t="inlineStr"/>
      <c r="I36" s="24" t="inlineStr"/>
      <c r="J36" s="24" t="inlineStr"/>
    </row>
    <row r="37">
      <c r="A37" s="25" t="inlineStr">
        <is>
          <t>DCF基准（按预测增速）</t>
        </is>
      </c>
    </row>
    <row r="38">
      <c r="A38" s="25" t="inlineStr">
        <is>
          <t>收入 +5%/年</t>
        </is>
      </c>
    </row>
    <row r="39">
      <c r="A39" s="25" t="inlineStr">
        <is>
          <t>收入 +3%/年</t>
        </is>
      </c>
    </row>
    <row r="40">
      <c r="A40" s="25" t="inlineStr">
        <is>
          <t>收入 +0%/年</t>
        </is>
      </c>
    </row>
    <row r="43">
      <c r="A43" s="23" t="inlineStr">
        <is>
          <t>五、综合判断（七维度）</t>
        </is>
      </c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</row>
    <row r="44">
      <c r="A44" s="24" t="inlineStr">
        <is>
          <t>判断维度</t>
        </is>
      </c>
      <c r="B44" s="24" t="inlineStr">
        <is>
          <t>评级</t>
        </is>
      </c>
      <c r="C44" s="24" t="inlineStr">
        <is>
          <t>关键计算/说明</t>
        </is>
      </c>
      <c r="D44" s="24" t="inlineStr"/>
      <c r="E44" s="24" t="inlineStr"/>
      <c r="F44" s="24" t="inlineStr"/>
      <c r="G44" s="24" t="inlineStr"/>
      <c r="H44" s="24" t="inlineStr"/>
      <c r="I44" s="24" t="inlineStr"/>
      <c r="J44" s="24" t="inlineStr"/>
    </row>
    <row r="45">
      <c r="A45" s="25" t="inlineStr">
        <is>
          <t>承诺设定水平（合理/偏乐观/偏保守）</t>
        </is>
      </c>
    </row>
    <row r="46">
      <c r="A46" s="25" t="inlineStr">
        <is>
          <t>隐含增长率（vs 历史趋势）</t>
        </is>
      </c>
    </row>
    <row r="47">
      <c r="A47" s="25" t="inlineStr">
        <is>
          <t>核心依赖项（收入增长 / 利润率改善）</t>
        </is>
      </c>
    </row>
    <row r="48">
      <c r="A48" s="25" t="inlineStr">
        <is>
          <t>单点风险（收入增速每少1pct→净利缺口）</t>
        </is>
      </c>
    </row>
    <row r="49">
      <c r="A49" s="25" t="inlineStr">
        <is>
          <t>触发补偿概率（低/中/高）</t>
        </is>
      </c>
    </row>
    <row r="50">
      <c r="A50" s="25" t="inlineStr">
        <is>
          <t>补偿保护力度（承诺方持股% + 补偿上限）</t>
        </is>
      </c>
    </row>
    <row r="51">
      <c r="A51" s="25" t="inlineStr">
        <is>
          <t>商誉联动风险（商誉/净资产比%）</t>
        </is>
      </c>
    </row>
  </sheetData>
  <mergeCells count="6">
    <mergeCell ref="A1:J1"/>
    <mergeCell ref="A3:J3"/>
    <mergeCell ref="A15:J15"/>
    <mergeCell ref="A35:J35"/>
    <mergeCell ref="A43:J43"/>
    <mergeCell ref="A25:J2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</cols>
  <sheetData>
    <row r="1">
      <c r="A1" s="22" t="inlineStr">
        <is>
          <t>配套募集资金概览与双重摊薄分析（条件启用：重组报告书含配套募资方案时）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</row>
    <row r="3">
      <c r="A3" s="23" t="inlineStr">
        <is>
          <t>一、配套募资方案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>
      <c r="A4" s="24" t="inlineStr">
        <is>
          <t>项目</t>
        </is>
      </c>
      <c r="B4" s="24" t="inlineStr">
        <is>
          <t>金额/数值</t>
        </is>
      </c>
      <c r="C4" s="24" t="inlineStr">
        <is>
          <t>说明</t>
        </is>
      </c>
      <c r="D4" s="24" t="inlineStr"/>
      <c r="E4" s="24" t="inlineStr"/>
      <c r="F4" s="24" t="inlineStr"/>
      <c r="G4" s="24" t="inlineStr"/>
      <c r="H4" s="24" t="inlineStr"/>
      <c r="I4" s="24" t="inlineStr"/>
      <c r="J4" s="24" t="inlineStr"/>
    </row>
    <row r="5">
      <c r="A5" s="25" t="inlineStr">
        <is>
          <t>募资总额（万元）</t>
        </is>
      </c>
    </row>
    <row r="6">
      <c r="A6" s="25" t="inlineStr">
        <is>
          <t>发行方式</t>
        </is>
      </c>
    </row>
    <row r="7">
      <c r="A7" s="25" t="inlineStr">
        <is>
          <t>发行对象范围</t>
        </is>
      </c>
    </row>
    <row r="8">
      <c r="A8" s="25" t="inlineStr">
        <is>
          <t>锁定期</t>
        </is>
      </c>
    </row>
    <row r="9"/>
    <row r="10"/>
    <row r="11">
      <c r="A11" s="26" t="inlineStr">
        <is>
          <t>用途1: 支付现金对价（万元）</t>
        </is>
      </c>
    </row>
    <row r="12">
      <c r="A12" s="26" t="inlineStr">
        <is>
          <t>用途2: 交易税费及中介费（万元）</t>
        </is>
      </c>
    </row>
    <row r="13">
      <c r="A13" s="26" t="inlineStr">
        <is>
          <t>用途3: 补充上市公司流动资金（万元）</t>
        </is>
      </c>
    </row>
    <row r="14">
      <c r="A14" s="26" t="inlineStr">
        <is>
          <t>用途4: 标的公司募投项目建设（万元）</t>
        </is>
      </c>
    </row>
    <row r="17">
      <c r="A17" s="23" t="inlineStr">
        <is>
          <t>二、双重摊薄对比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>
      <c r="A18" s="24" t="inlineStr">
        <is>
          <t>项目</t>
        </is>
      </c>
      <c r="B18" s="24" t="inlineStr">
        <is>
          <t>仅发股购买</t>
        </is>
      </c>
      <c r="C18" s="24" t="inlineStr">
        <is>
          <t>发股+配套募资</t>
        </is>
      </c>
      <c r="D18" s="24" t="inlineStr">
        <is>
          <t>单位</t>
        </is>
      </c>
      <c r="E18" s="24" t="inlineStr"/>
      <c r="F18" s="24" t="inlineStr"/>
      <c r="G18" s="24" t="inlineStr"/>
      <c r="H18" s="24" t="inlineStr"/>
      <c r="I18" s="24" t="inlineStr"/>
      <c r="J18" s="24" t="inlineStr"/>
    </row>
    <row r="19">
      <c r="A19" s="25" t="inlineStr">
        <is>
          <t>发行前总股本</t>
        </is>
      </c>
      <c r="D19" s="25" t="inlineStr">
        <is>
          <t>万股</t>
        </is>
      </c>
    </row>
    <row r="20">
      <c r="A20" s="25" t="inlineStr">
        <is>
          <t>发股购买新增股数</t>
        </is>
      </c>
      <c r="D20" s="25" t="inlineStr">
        <is>
          <t>万股</t>
        </is>
      </c>
    </row>
    <row r="21">
      <c r="A21" s="25" t="inlineStr">
        <is>
          <t>配套募资新增股数（估算）</t>
        </is>
      </c>
      <c r="D21" s="25" t="inlineStr">
        <is>
          <t>万股</t>
        </is>
      </c>
    </row>
    <row r="22">
      <c r="A22" s="25" t="inlineStr">
        <is>
          <t>发行后总股本</t>
        </is>
      </c>
      <c r="D22" s="25" t="inlineStr">
        <is>
          <t>万股</t>
        </is>
      </c>
    </row>
    <row r="23">
      <c r="A23" s="25" t="inlineStr">
        <is>
          <t>稀释率</t>
        </is>
      </c>
      <c r="D23" s="25" t="inlineStr">
        <is>
          <t>%</t>
        </is>
      </c>
    </row>
    <row r="24">
      <c r="D24" s="25" t="inlineStr"/>
    </row>
    <row r="25">
      <c r="D25" s="25" t="inlineStr"/>
    </row>
    <row r="26">
      <c r="A26" s="25" t="inlineStr">
        <is>
          <t>归母净资产</t>
        </is>
      </c>
      <c r="D26" s="25" t="inlineStr">
        <is>
          <t>万元</t>
        </is>
      </c>
    </row>
    <row r="27">
      <c r="A27" s="25" t="inlineStr">
        <is>
          <t>每股BPS</t>
        </is>
      </c>
      <c r="D27" s="25" t="inlineStr">
        <is>
          <t>万股</t>
        </is>
      </c>
    </row>
    <row r="28">
      <c r="A28" s="25" t="inlineStr">
        <is>
          <t>每股价值变化</t>
        </is>
      </c>
      <c r="D28" s="25" t="inlineStr">
        <is>
          <t>万股</t>
        </is>
      </c>
    </row>
  </sheetData>
  <mergeCells count="5">
    <mergeCell ref="A1:J1"/>
    <mergeCell ref="A17:J17"/>
    <mergeCell ref="A9:J9"/>
    <mergeCell ref="A3:J3"/>
    <mergeCell ref="A10:J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2" t="inlineStr">
        <is>
          <t>标的公司募投项目独立DCF分析（条件启用：配套资金含标的项目建设用途）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</row>
    <row r="3">
      <c r="A3" s="23" t="inlineStr">
        <is>
          <t>一、项目概况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>
      <c r="A4" s="25" t="inlineStr">
        <is>
          <t>项目名称</t>
        </is>
      </c>
    </row>
    <row r="5">
      <c r="A5" s="25" t="inlineStr">
        <is>
          <t>实施主体</t>
        </is>
      </c>
    </row>
    <row r="6">
      <c r="A6" s="25" t="inlineStr">
        <is>
          <t>总投资（万元）</t>
        </is>
      </c>
    </row>
    <row r="7">
      <c r="A7" s="25" t="inlineStr">
        <is>
          <t>建设期（年）</t>
        </is>
      </c>
    </row>
    <row r="8">
      <c r="A8" s="25" t="inlineStr">
        <is>
          <t>募资投入金额（万元）</t>
        </is>
      </c>
    </row>
    <row r="9">
      <c r="A9" s="25" t="inlineStr">
        <is>
          <t>自有资金缺口（万元）</t>
        </is>
      </c>
    </row>
    <row r="12">
      <c r="A12" s="23" t="inlineStr">
        <is>
          <t>二、分年投资计划（万元）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</row>
    <row r="13">
      <c r="A13" s="24" t="inlineStr">
        <is>
          <t>项目</t>
        </is>
      </c>
      <c r="B13" s="24" t="inlineStr">
        <is>
          <t>Y1(建设)</t>
        </is>
      </c>
      <c r="C13" s="24" t="inlineStr">
        <is>
          <t>Y2(建设)</t>
        </is>
      </c>
      <c r="D13" s="24" t="inlineStr">
        <is>
          <t>Y3(投产)</t>
        </is>
      </c>
      <c r="E13" s="24" t="inlineStr">
        <is>
          <t>Y4</t>
        </is>
      </c>
      <c r="F13" s="24" t="inlineStr">
        <is>
          <t>Y5</t>
        </is>
      </c>
      <c r="G13" s="24" t="inlineStr">
        <is>
          <t>Y6</t>
        </is>
      </c>
      <c r="H13" s="24" t="inlineStr">
        <is>
          <t>Y7</t>
        </is>
      </c>
      <c r="I13" s="24" t="inlineStr">
        <is>
          <t>Y8</t>
        </is>
      </c>
      <c r="J13" s="24" t="inlineStr">
        <is>
          <t>合计</t>
        </is>
      </c>
    </row>
    <row r="14">
      <c r="A14" s="25" t="inlineStr">
        <is>
          <t>建筑工程</t>
        </is>
      </c>
    </row>
    <row r="15">
      <c r="A15" s="25" t="inlineStr">
        <is>
          <t>设备购置</t>
        </is>
      </c>
    </row>
    <row r="16">
      <c r="A16" s="25" t="inlineStr">
        <is>
          <t>软件</t>
        </is>
      </c>
    </row>
    <row r="17">
      <c r="A17" s="25" t="inlineStr">
        <is>
          <t>预备费</t>
        </is>
      </c>
    </row>
    <row r="18">
      <c r="A18" s="26" t="inlineStr">
        <is>
          <t>CAPEX合计</t>
        </is>
      </c>
    </row>
    <row r="21">
      <c r="A21" s="23" t="inlineStr">
        <is>
          <t>三、增量收入预测（万元）</t>
        </is>
      </c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</row>
    <row r="22">
      <c r="A22" s="24" t="inlineStr">
        <is>
          <t>项目</t>
        </is>
      </c>
      <c r="B22" s="24" t="inlineStr">
        <is>
          <t>Y3</t>
        </is>
      </c>
      <c r="C22" s="24" t="inlineStr">
        <is>
          <t>Y4</t>
        </is>
      </c>
      <c r="D22" s="24" t="inlineStr">
        <is>
          <t>Y5</t>
        </is>
      </c>
      <c r="E22" s="24" t="inlineStr">
        <is>
          <t>Y6</t>
        </is>
      </c>
      <c r="F22" s="24" t="inlineStr">
        <is>
          <t>Y7</t>
        </is>
      </c>
      <c r="G22" s="24" t="inlineStr">
        <is>
          <t>Y8</t>
        </is>
      </c>
      <c r="H22" s="24" t="inlineStr">
        <is>
          <t>Y9</t>
        </is>
      </c>
      <c r="I22" s="24" t="inlineStr">
        <is>
          <t>Y10</t>
        </is>
      </c>
      <c r="J22" s="24" t="inlineStr">
        <is>
          <t>Y10+</t>
        </is>
      </c>
    </row>
    <row r="23">
      <c r="A23" s="25" t="inlineStr">
        <is>
          <t>达产率</t>
        </is>
      </c>
    </row>
    <row r="24">
      <c r="A24" s="25" t="inlineStr">
        <is>
          <t>增量营业收入</t>
        </is>
      </c>
    </row>
    <row r="25">
      <c r="A25" s="25" t="inlineStr">
        <is>
          <t>增量营业成本</t>
        </is>
      </c>
    </row>
    <row r="26">
      <c r="A26" s="25" t="inlineStr">
        <is>
          <t>增量毛利</t>
        </is>
      </c>
    </row>
    <row r="29">
      <c r="A29" s="23" t="inlineStr">
        <is>
          <t>四、项目独立FCFF与估值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</row>
    <row r="30">
      <c r="A30" s="24" t="inlineStr">
        <is>
          <t>项目</t>
        </is>
      </c>
      <c r="B30" s="24" t="inlineStr">
        <is>
          <t>Y3</t>
        </is>
      </c>
      <c r="C30" s="24" t="inlineStr">
        <is>
          <t>Y4</t>
        </is>
      </c>
      <c r="D30" s="24" t="inlineStr">
        <is>
          <t>Y5</t>
        </is>
      </c>
      <c r="E30" s="24" t="inlineStr">
        <is>
          <t>Y6</t>
        </is>
      </c>
      <c r="F30" s="24" t="inlineStr">
        <is>
          <t>Y7</t>
        </is>
      </c>
      <c r="G30" s="24" t="inlineStr">
        <is>
          <t>Y8</t>
        </is>
      </c>
      <c r="H30" s="24" t="inlineStr">
        <is>
          <t>Y9</t>
        </is>
      </c>
      <c r="I30" s="24" t="inlineStr">
        <is>
          <t>Y10</t>
        </is>
      </c>
      <c r="J30" s="24" t="inlineStr">
        <is>
          <t>Y10+</t>
        </is>
      </c>
    </row>
    <row r="31">
      <c r="A31" s="25" t="inlineStr">
        <is>
          <t>增量毛利</t>
        </is>
      </c>
    </row>
    <row r="32">
      <c r="A32" s="25" t="inlineStr">
        <is>
          <t>减: 增量期间费用</t>
        </is>
      </c>
    </row>
    <row r="33">
      <c r="A33" s="25" t="inlineStr">
        <is>
          <t>减: 所得税</t>
        </is>
      </c>
    </row>
    <row r="34">
      <c r="A34" s="25">
        <f> 增量NOPAT</f>
        <v/>
      </c>
    </row>
    <row r="35">
      <c r="A35" s="25" t="inlineStr">
        <is>
          <t>加: D&amp;A</t>
        </is>
      </c>
    </row>
    <row r="36">
      <c r="A36" s="25" t="inlineStr">
        <is>
          <t>减: CAPEX</t>
        </is>
      </c>
    </row>
    <row r="37">
      <c r="A37" s="25" t="inlineStr">
        <is>
          <t>减: ΔNWC</t>
        </is>
      </c>
    </row>
    <row r="38">
      <c r="A38" s="26">
        <f> 项目FCFF</f>
        <v/>
      </c>
    </row>
    <row r="40">
      <c r="A40" s="23" t="inlineStr">
        <is>
          <t>估值结果</t>
        </is>
      </c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</row>
    <row r="41">
      <c r="A41" s="25" t="inlineStr">
        <is>
          <t>折现率（WACC）</t>
        </is>
      </c>
    </row>
    <row r="42">
      <c r="A42" s="25" t="inlineStr">
        <is>
          <t>项目NPV（万元）</t>
        </is>
      </c>
    </row>
    <row r="43">
      <c r="A43" s="25" t="inlineStr">
        <is>
          <t>项目IRR</t>
        </is>
      </c>
    </row>
    <row r="44">
      <c r="A44" s="25" t="inlineStr">
        <is>
          <t>静态投资回收期（年）</t>
        </is>
      </c>
    </row>
    <row r="45">
      <c r="A45" s="25" t="inlineStr">
        <is>
          <t>动态投资回收期（年）</t>
        </is>
      </c>
    </row>
    <row r="47">
      <c r="A47" s="25" t="inlineStr">
        <is>
          <t>deal报告披露IRR</t>
        </is>
      </c>
    </row>
    <row r="48">
      <c r="A48" s="25" t="inlineStr">
        <is>
          <t>偏差分析</t>
        </is>
      </c>
    </row>
  </sheetData>
  <mergeCells count="6">
    <mergeCell ref="A1:J1"/>
    <mergeCell ref="A40:J40"/>
    <mergeCell ref="A3:J3"/>
    <mergeCell ref="A21:J21"/>
    <mergeCell ref="A12:J12"/>
    <mergeCell ref="A29:J2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2" t="inlineStr">
        <is>
          <t>含募投备考合并调整（条件启用：募投项目独立DCF已生成时）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</row>
    <row r="3">
      <c r="A3" s="23" t="inlineStr">
        <is>
          <t>一、原标的FCFF（评估报告） vs 含募投合并FCFF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>
      <c r="A4" s="24" t="inlineStr">
        <is>
          <t>项目</t>
        </is>
      </c>
      <c r="B4" s="24" t="inlineStr">
        <is>
          <t>T+1E</t>
        </is>
      </c>
      <c r="C4" s="24" t="inlineStr">
        <is>
          <t>T+2E</t>
        </is>
      </c>
      <c r="D4" s="24" t="inlineStr">
        <is>
          <t>T+3E</t>
        </is>
      </c>
      <c r="E4" s="24" t="inlineStr">
        <is>
          <t>T+4E</t>
        </is>
      </c>
      <c r="F4" s="24" t="inlineStr">
        <is>
          <t>T+5E</t>
        </is>
      </c>
      <c r="G4" s="24" t="inlineStr">
        <is>
          <t>永续期</t>
        </is>
      </c>
      <c r="H4" s="24" t="inlineStr"/>
      <c r="I4" s="24" t="inlineStr"/>
      <c r="J4" s="24" t="inlineStr"/>
    </row>
    <row r="5">
      <c r="A5" s="25" t="inlineStr">
        <is>
          <t>原标的FCFF（评估报告）</t>
        </is>
      </c>
    </row>
    <row r="6">
      <c r="A6" s="25" t="inlineStr">
        <is>
          <t>+ 募投项目增量FCFF（来自募投DCF Sheet）</t>
        </is>
      </c>
    </row>
    <row r="7">
      <c r="A7" s="26">
        <f> 含募投标的合并FCFF</f>
        <v/>
      </c>
    </row>
    <row r="9">
      <c r="A9" s="25" t="inlineStr">
        <is>
          <t>折现率（WACC）</t>
        </is>
      </c>
    </row>
    <row r="10">
      <c r="A10" s="25" t="inlineStr">
        <is>
          <t>折现系数</t>
        </is>
      </c>
    </row>
    <row r="12">
      <c r="A12" s="25" t="inlineStr">
        <is>
          <t>含募投FCFF现值</t>
        </is>
      </c>
    </row>
    <row r="13">
      <c r="A13" s="25" t="inlineStr">
        <is>
          <t>终值</t>
        </is>
      </c>
    </row>
    <row r="14">
      <c r="A14" s="26" t="inlineStr">
        <is>
          <t>含募投标的企业整体价值(EV)</t>
        </is>
      </c>
    </row>
    <row r="15">
      <c r="A15" s="25" t="inlineStr">
        <is>
          <t>减: 付息债务（考虑募资注入后）</t>
        </is>
      </c>
    </row>
    <row r="16">
      <c r="A16" s="26" t="inlineStr">
        <is>
          <t>含募投标的股权价值</t>
        </is>
      </c>
    </row>
    <row r="19">
      <c r="A19" s="23" t="inlineStr">
        <is>
          <t>二、原评估值 vs 含募投价值 对比判断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</row>
    <row r="20">
      <c r="A20" s="24" t="inlineStr">
        <is>
          <t>项目</t>
        </is>
      </c>
      <c r="B20" s="24" t="inlineStr">
        <is>
          <t>金额（万元）</t>
        </is>
      </c>
      <c r="C20" s="24" t="inlineStr">
        <is>
          <t>说明</t>
        </is>
      </c>
      <c r="D20" s="24" t="inlineStr"/>
      <c r="E20" s="24" t="inlineStr"/>
      <c r="F20" s="24" t="inlineStr"/>
      <c r="G20" s="24" t="inlineStr"/>
      <c r="H20" s="24" t="inlineStr"/>
      <c r="I20" s="24" t="inlineStr"/>
      <c r="J20" s="24" t="inlineStr"/>
    </row>
    <row r="21">
      <c r="A21" s="26" t="inlineStr">
        <is>
          <t>原评估值（交易定价基础）</t>
        </is>
      </c>
      <c r="C21" s="25" t="inlineStr">
        <is>
          <t>不能动——评估报告基准日结论</t>
        </is>
      </c>
    </row>
    <row r="22">
      <c r="A22" s="26" t="inlineStr">
        <is>
          <t>含募投标的股权价值</t>
        </is>
      </c>
      <c r="C22" s="25" t="inlineStr">
        <is>
          <t>含配套资金注入后增量</t>
        </is>
      </c>
    </row>
    <row r="23">
      <c r="A23" s="26" t="inlineStr">
        <is>
          <t>差额 = 净新增价值</t>
        </is>
      </c>
      <c r="C23" s="25" t="inlineStr">
        <is>
          <t>正=募投创造价值 / 负=质疑募资必要性</t>
        </is>
      </c>
    </row>
    <row r="25">
      <c r="A25" s="27" t="inlineStr">
        <is>
          <t>⚠ 关键判断：差额是否为正？ → 正=募投成立 / 负=质疑募资必要性 / 差额度 = 净新增(损失)价值</t>
        </is>
      </c>
    </row>
    <row r="27">
      <c r="A27" s="28" t="inlineStr">
        <is>
          <t>备注：原评估报告是交易定价基础，不能直接修改。本表仅作为含募投情景的备考参考，不构成对评估报告的质疑。</t>
        </is>
      </c>
    </row>
  </sheetData>
  <mergeCells count="8">
    <mergeCell ref="A25:J25"/>
    <mergeCell ref="A1:J1"/>
    <mergeCell ref="C21:J21"/>
    <mergeCell ref="A27:J27"/>
    <mergeCell ref="A3:J3"/>
    <mergeCell ref="C22:J22"/>
    <mergeCell ref="C23:J23"/>
    <mergeCell ref="A19:J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2026-05-29T02:48:21Z</dcterms:created>
  <dcterms:modified xmlns:dcterms="http://purl.org/dc/terms/" xmlns:xsi="http://www.w3.org/2001/XMLSchema-instance" xsi:type="dcterms:W3CDTF">2026-06-11T11:29:46Z</dcterms:modified>
</cp:coreProperties>
</file>