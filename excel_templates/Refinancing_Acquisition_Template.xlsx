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-交易概览" sheetId="1" state="visible" r:id="rId1"/>
    <sheet xmlns:r="http://schemas.openxmlformats.org/officeDocument/2006/relationships" name="2-摊薄分析" sheetId="2" state="visible" r:id="rId2"/>
    <sheet xmlns:r="http://schemas.openxmlformats.org/officeDocument/2006/relationships" name="3-标的财务分析" sheetId="3" state="visible" r:id="rId3"/>
    <sheet xmlns:r="http://schemas.openxmlformats.org/officeDocument/2006/relationships" name="4-标的DCF" sheetId="4" state="visible" r:id="rId4"/>
    <sheet xmlns:r="http://schemas.openxmlformats.org/officeDocument/2006/relationships" name="5-备考合并" sheetId="5" state="visible" r:id="rId5"/>
    <sheet xmlns:r="http://schemas.openxmlformats.org/officeDocument/2006/relationships" name="6-协同效应" sheetId="6" state="visible" r:id="rId6"/>
    <sheet xmlns:r="http://schemas.openxmlformats.org/officeDocument/2006/relationships" name="7-价值影响总结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2"/>
    </font>
    <font>
      <name val="微软雅黑"/>
      <b val="1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30" customHeight="1">
      <c r="A1" s="1" t="inlineStr">
        <is>
          <t>交易概览 — 收购资产+配套融资结构</t>
        </is>
      </c>
    </row>
    <row r="2">
      <c r="A2" s="2" t="inlineStr">
        <is>
          <t>项目</t>
        </is>
      </c>
      <c r="B2" s="2" t="inlineStr">
        <is>
          <t>数值</t>
        </is>
      </c>
      <c r="C2" s="2" t="inlineStr">
        <is>
          <t>单位</t>
        </is>
      </c>
      <c r="D2" s="2" t="inlineStr">
        <is>
          <t>数据来源</t>
        </is>
      </c>
      <c r="E2" s="2" t="inlineStr">
        <is>
          <t>备注</t>
        </is>
      </c>
    </row>
    <row r="3">
      <c r="A3" s="3" t="inlineStr">
        <is>
          <t>收购标的</t>
        </is>
      </c>
      <c r="B3" s="3" t="inlineStr"/>
      <c r="C3" s="3" t="inlineStr"/>
      <c r="D3" s="3" t="inlineStr">
        <is>
          <t>募集说明书</t>
        </is>
      </c>
      <c r="E3" s="3" t="inlineStr">
        <is>
          <t>标的公司名称/股权比例</t>
        </is>
      </c>
    </row>
    <row r="4">
      <c r="A4" s="3" t="inlineStr">
        <is>
          <t>收购对价</t>
        </is>
      </c>
      <c r="B4" s="3" t="inlineStr"/>
      <c r="C4" s="3" t="inlineStr">
        <is>
          <t>万元</t>
        </is>
      </c>
      <c r="D4" s="3" t="inlineStr">
        <is>
          <t>募集说明书</t>
        </is>
      </c>
      <c r="E4" s="3" t="inlineStr"/>
    </row>
    <row r="5">
      <c r="A5" s="3" t="inlineStr">
        <is>
          <t>标的评估方法</t>
        </is>
      </c>
      <c r="B5" s="3" t="inlineStr"/>
      <c r="C5" s="3" t="inlineStr"/>
      <c r="D5" s="3" t="inlineStr">
        <is>
          <t>评估报告</t>
        </is>
      </c>
      <c r="E5" s="3" t="inlineStr">
        <is>
          <t>资产基础法/收益法</t>
        </is>
      </c>
    </row>
    <row r="6">
      <c r="A6" s="3" t="inlineStr">
        <is>
          <t>标的评估值</t>
        </is>
      </c>
      <c r="B6" s="3" t="inlineStr"/>
      <c r="C6" s="3" t="inlineStr">
        <is>
          <t>万元</t>
        </is>
      </c>
      <c r="D6" s="3" t="inlineStr">
        <is>
          <t>评估报告</t>
        </is>
      </c>
      <c r="E6" s="3" t="inlineStr"/>
    </row>
    <row r="7">
      <c r="A7" s="3" t="inlineStr"/>
      <c r="B7" s="3" t="inlineStr"/>
      <c r="C7" s="3" t="inlineStr"/>
      <c r="D7" s="3" t="inlineStr"/>
      <c r="E7" s="3" t="inlineStr"/>
    </row>
    <row r="8">
      <c r="A8" s="3" t="inlineStr">
        <is>
          <t>发行前总股本</t>
        </is>
      </c>
      <c r="B8" s="3" t="inlineStr"/>
      <c r="C8" s="3" t="inlineStr">
        <is>
          <t>万股</t>
        </is>
      </c>
      <c r="D8" s="3" t="inlineStr">
        <is>
          <t>募集说明书</t>
        </is>
      </c>
      <c r="E8" s="3" t="inlineStr"/>
    </row>
    <row r="9">
      <c r="A9" s="3" t="inlineStr">
        <is>
          <t>发行数量上限</t>
        </is>
      </c>
      <c r="B9" s="3" t="inlineStr"/>
      <c r="C9" s="3" t="inlineStr">
        <is>
          <t>万股</t>
        </is>
      </c>
      <c r="D9" s="3" t="inlineStr">
        <is>
          <t>募集说明书</t>
        </is>
      </c>
      <c r="E9" s="3" t="inlineStr"/>
    </row>
    <row r="10">
      <c r="A10" s="3" t="inlineStr">
        <is>
          <t>发行价格(底价)</t>
        </is>
      </c>
      <c r="B10" s="3" t="inlineStr"/>
      <c r="C10" s="3" t="inlineStr">
        <is>
          <t>元/股</t>
        </is>
      </c>
      <c r="D10" s="3" t="inlineStr">
        <is>
          <t>募集说明书</t>
        </is>
      </c>
      <c r="E10" s="3" t="inlineStr"/>
    </row>
    <row r="11">
      <c r="A11" s="3" t="inlineStr">
        <is>
          <t>募集资金总额</t>
        </is>
      </c>
      <c r="B11" s="3" t="inlineStr"/>
      <c r="C11" s="3" t="inlineStr">
        <is>
          <t>万元</t>
        </is>
      </c>
      <c r="D11" s="3" t="inlineStr">
        <is>
          <t>计算</t>
        </is>
      </c>
      <c r="E11" s="3" t="inlineStr"/>
    </row>
    <row r="12">
      <c r="A12" s="3" t="inlineStr"/>
      <c r="B12" s="3" t="inlineStr"/>
      <c r="C12" s="3" t="inlineStr"/>
      <c r="D12" s="3" t="inlineStr"/>
      <c r="E12" s="3" t="inlineStr"/>
    </row>
    <row r="13">
      <c r="A13" s="3" t="inlineStr">
        <is>
          <t>发行人最近年度收入</t>
        </is>
      </c>
      <c r="B13" s="3" t="inlineStr"/>
      <c r="C13" s="3" t="inlineStr">
        <is>
          <t>万元</t>
        </is>
      </c>
      <c r="D13" s="3" t="inlineStr">
        <is>
          <t>年报/审计报告</t>
        </is>
      </c>
      <c r="E13" s="3" t="inlineStr"/>
    </row>
    <row r="14">
      <c r="A14" s="3" t="inlineStr">
        <is>
          <t>发行人归母净利润</t>
        </is>
      </c>
      <c r="B14" s="3" t="inlineStr"/>
      <c r="C14" s="3" t="inlineStr">
        <is>
          <t>万元</t>
        </is>
      </c>
      <c r="D14" s="3" t="inlineStr">
        <is>
          <t>年报/审计报告</t>
        </is>
      </c>
      <c r="E14" s="3" t="inlineStr"/>
    </row>
    <row r="15">
      <c r="A15" s="3" t="inlineStr">
        <is>
          <t>发行人ROE</t>
        </is>
      </c>
      <c r="B15" s="3" t="inlineStr"/>
      <c r="C15" s="3" t="inlineStr">
        <is>
          <t>%</t>
        </is>
      </c>
      <c r="D15" s="3" t="inlineStr">
        <is>
          <t>计算</t>
        </is>
      </c>
      <c r="E15" s="3" t="inlineStr"/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30" customHeight="1">
      <c r="A1" s="1" t="inlineStr">
        <is>
          <t>持股比例 &amp; BPS变化</t>
        </is>
      </c>
    </row>
    <row r="2">
      <c r="A2" s="2" t="inlineStr">
        <is>
          <t>项目</t>
        </is>
      </c>
      <c r="B2" s="2" t="inlineStr">
        <is>
          <t>发行前</t>
        </is>
      </c>
      <c r="C2" s="2" t="inlineStr">
        <is>
          <t>发行后</t>
        </is>
      </c>
      <c r="D2" s="2" t="inlineStr">
        <is>
          <t>变化</t>
        </is>
      </c>
      <c r="E2" s="2" t="inlineStr">
        <is>
          <t>备注</t>
        </is>
      </c>
    </row>
    <row r="3">
      <c r="A3" s="3" t="inlineStr">
        <is>
          <t>总股本(万股)</t>
        </is>
      </c>
      <c r="B3" s="3" t="inlineStr"/>
      <c r="C3" s="3" t="inlineStr"/>
      <c r="D3" s="3" t="inlineStr"/>
      <c r="E3" s="3" t="inlineStr"/>
    </row>
    <row r="4">
      <c r="A4" s="3" t="inlineStr">
        <is>
          <t>新增股本(万股)</t>
        </is>
      </c>
      <c r="B4" s="3" t="inlineStr"/>
      <c r="C4" s="3" t="inlineStr"/>
      <c r="D4" s="3" t="inlineStr"/>
      <c r="E4" s="3" t="inlineStr"/>
    </row>
    <row r="5">
      <c r="A5" s="3" t="inlineStr">
        <is>
          <t>稀释率</t>
        </is>
      </c>
      <c r="B5" s="3" t="inlineStr"/>
      <c r="C5" s="3" t="inlineStr"/>
      <c r="D5" s="3" t="inlineStr"/>
      <c r="E5" s="3" t="inlineStr"/>
    </row>
    <row r="6">
      <c r="A6" s="3" t="inlineStr"/>
      <c r="B6" s="3" t="inlineStr"/>
      <c r="C6" s="3" t="inlineStr"/>
      <c r="D6" s="3" t="inlineStr"/>
      <c r="E6" s="3" t="inlineStr"/>
    </row>
    <row r="7">
      <c r="A7" s="3" t="inlineStr">
        <is>
          <t>归母净资产(万元)</t>
        </is>
      </c>
      <c r="B7" s="3" t="inlineStr"/>
      <c r="C7" s="3" t="inlineStr"/>
      <c r="D7" s="3" t="inlineStr"/>
      <c r="E7" s="3" t="inlineStr"/>
    </row>
    <row r="8">
      <c r="A8" s="3" t="inlineStr">
        <is>
          <t>BPS(元/股)</t>
        </is>
      </c>
      <c r="B8" s="3" t="inlineStr"/>
      <c r="C8" s="3" t="inlineStr"/>
      <c r="D8" s="3" t="inlineStr"/>
      <c r="E8" s="3" t="inlineStr"/>
    </row>
    <row r="9">
      <c r="A9" s="3" t="inlineStr">
        <is>
          <t>发行价 vs BPS前</t>
        </is>
      </c>
      <c r="B9" s="3" t="inlineStr"/>
      <c r="C9" s="3" t="inlineStr"/>
      <c r="D9" s="3" t="inlineStr"/>
      <c r="E9" s="3" t="inlineStr">
        <is>
          <t>增厚/摊薄判断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30" customHeight="1">
      <c r="A1" s="1" t="inlineStr">
        <is>
          <t>标的公司财务分析</t>
        </is>
      </c>
    </row>
    <row r="2">
      <c r="A2" s="2" t="inlineStr">
        <is>
          <t>项目</t>
        </is>
      </c>
      <c r="B2" s="2" t="inlineStr">
        <is>
          <t>最近1年</t>
        </is>
      </c>
      <c r="C2" s="2" t="inlineStr">
        <is>
          <t>最近2年</t>
        </is>
      </c>
      <c r="D2" s="2" t="inlineStr">
        <is>
          <t>单位</t>
        </is>
      </c>
      <c r="E2" s="2" t="inlineStr">
        <is>
          <t>备注</t>
        </is>
      </c>
    </row>
    <row r="3">
      <c r="A3" s="3" t="inlineStr">
        <is>
          <t>营业收入</t>
        </is>
      </c>
      <c r="B3" s="3" t="inlineStr"/>
      <c r="C3" s="3" t="inlineStr"/>
      <c r="D3" s="3" t="inlineStr">
        <is>
          <t>万元</t>
        </is>
      </c>
      <c r="E3" s="3" t="inlineStr"/>
    </row>
    <row r="4">
      <c r="A4" s="3" t="inlineStr">
        <is>
          <t>营业成本</t>
        </is>
      </c>
      <c r="B4" s="3" t="inlineStr"/>
      <c r="C4" s="3" t="inlineStr"/>
      <c r="D4" s="3" t="inlineStr">
        <is>
          <t>万元</t>
        </is>
      </c>
      <c r="E4" s="3" t="inlineStr"/>
    </row>
    <row r="5">
      <c r="A5" s="3" t="inlineStr">
        <is>
          <t>营业利润</t>
        </is>
      </c>
      <c r="B5" s="3" t="inlineStr"/>
      <c r="C5" s="3" t="inlineStr"/>
      <c r="D5" s="3" t="inlineStr">
        <is>
          <t>万元</t>
        </is>
      </c>
      <c r="E5" s="3" t="inlineStr"/>
    </row>
    <row r="6">
      <c r="A6" s="3" t="inlineStr">
        <is>
          <t>净利润</t>
        </is>
      </c>
      <c r="B6" s="3" t="inlineStr"/>
      <c r="C6" s="3" t="inlineStr"/>
      <c r="D6" s="3" t="inlineStr">
        <is>
          <t>万元</t>
        </is>
      </c>
      <c r="E6" s="3" t="inlineStr"/>
    </row>
    <row r="7">
      <c r="A7" s="3" t="inlineStr"/>
      <c r="B7" s="3" t="inlineStr"/>
      <c r="C7" s="3" t="inlineStr"/>
      <c r="D7" s="3" t="inlineStr"/>
      <c r="E7" s="3" t="inlineStr"/>
    </row>
    <row r="8">
      <c r="A8" s="3" t="inlineStr">
        <is>
          <t>总资产</t>
        </is>
      </c>
      <c r="B8" s="3" t="inlineStr"/>
      <c r="C8" s="3" t="inlineStr"/>
      <c r="D8" s="3" t="inlineStr">
        <is>
          <t>万元</t>
        </is>
      </c>
      <c r="E8" s="3" t="inlineStr"/>
    </row>
    <row r="9">
      <c r="A9" s="3" t="inlineStr">
        <is>
          <t>净资产</t>
        </is>
      </c>
      <c r="B9" s="3" t="inlineStr"/>
      <c r="C9" s="3" t="inlineStr"/>
      <c r="D9" s="3" t="inlineStr">
        <is>
          <t>万元</t>
        </is>
      </c>
      <c r="E9" s="3" t="inlineStr"/>
    </row>
    <row r="10">
      <c r="A10" s="3" t="inlineStr"/>
      <c r="B10" s="3" t="inlineStr"/>
      <c r="C10" s="3" t="inlineStr"/>
      <c r="D10" s="3" t="inlineStr"/>
      <c r="E10" s="3" t="inlineStr"/>
    </row>
    <row r="11">
      <c r="A11" s="3" t="inlineStr">
        <is>
          <t>P/E(收购对价/净利润)</t>
        </is>
      </c>
      <c r="B11" s="3" t="inlineStr"/>
      <c r="C11" s="3" t="inlineStr"/>
      <c r="D11" s="3" t="inlineStr">
        <is>
          <t>倍</t>
        </is>
      </c>
      <c r="E11" s="3" t="inlineStr"/>
    </row>
    <row r="12">
      <c r="A12" s="3" t="inlineStr">
        <is>
          <t>P/B(收购对价/净资产)</t>
        </is>
      </c>
      <c r="B12" s="3" t="inlineStr"/>
      <c r="C12" s="3" t="inlineStr"/>
      <c r="D12" s="3" t="inlineStr">
        <is>
          <t>倍</t>
        </is>
      </c>
      <c r="E12" s="3" t="inlineStr"/>
    </row>
    <row r="13">
      <c r="A13" s="3" t="inlineStr"/>
      <c r="B13" s="3" t="inlineStr"/>
      <c r="C13" s="3" t="inlineStr"/>
      <c r="D13" s="3" t="inlineStr"/>
      <c r="E13" s="3" t="inlineStr"/>
    </row>
    <row r="14">
      <c r="A14" s="3" t="inlineStr">
        <is>
          <t>产能规模</t>
        </is>
      </c>
      <c r="B14" s="3" t="inlineStr"/>
      <c r="C14" s="3" t="inlineStr"/>
      <c r="D14" s="3" t="inlineStr"/>
      <c r="E14" s="3" t="inlineStr"/>
    </row>
    <row r="15">
      <c r="A15" s="3" t="inlineStr">
        <is>
          <t>产销率</t>
        </is>
      </c>
      <c r="B15" s="3" t="inlineStr"/>
      <c r="C15" s="3" t="inlineStr"/>
      <c r="D15" s="3" t="inlineStr">
        <is>
          <t>%</t>
        </is>
      </c>
      <c r="E15" s="3" t="inlineStr"/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30" customHeight="1">
      <c r="A1" s="1" t="inlineStr">
        <is>
          <t>标的公司独立DCF估值</t>
        </is>
      </c>
    </row>
    <row r="2">
      <c r="A2" s="2" t="inlineStr">
        <is>
          <t>项目</t>
        </is>
      </c>
      <c r="B2" s="2" t="inlineStr">
        <is>
          <t>Y1E</t>
        </is>
      </c>
      <c r="C2" s="2" t="inlineStr">
        <is>
          <t>Y2E</t>
        </is>
      </c>
      <c r="D2" s="2" t="inlineStr">
        <is>
          <t>Y3E</t>
        </is>
      </c>
      <c r="E2" s="2" t="inlineStr">
        <is>
          <t>Y4E</t>
        </is>
      </c>
      <c r="F2" s="2" t="inlineStr">
        <is>
          <t>Y5E</t>
        </is>
      </c>
      <c r="G2" s="2" t="inlineStr">
        <is>
          <t>终年</t>
        </is>
      </c>
      <c r="H2" s="2" t="inlineStr">
        <is>
          <t>公式/来源</t>
        </is>
      </c>
    </row>
    <row r="3">
      <c r="A3" s="3" t="inlineStr">
        <is>
          <t>营业收入(万元)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>
        <is>
          <t>产能×价格假设</t>
        </is>
      </c>
    </row>
    <row r="4">
      <c r="A4" s="3" t="inlineStr">
        <is>
          <t>营业成本(万元)</t>
        </is>
      </c>
      <c r="B4" s="3" t="inlineStr"/>
      <c r="C4" s="3" t="inlineStr"/>
      <c r="D4" s="3" t="inlineStr"/>
      <c r="E4" s="3" t="inlineStr"/>
      <c r="F4" s="3" t="inlineStr"/>
      <c r="G4" s="3" t="inlineStr"/>
      <c r="H4" s="3" t="inlineStr"/>
    </row>
    <row r="5">
      <c r="A5" s="3" t="inlineStr">
        <is>
          <t>EBIT(万元)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</row>
    <row r="6">
      <c r="A6" s="3" t="inlineStr">
        <is>
          <t>NOPAT(万元)</t>
        </is>
      </c>
      <c r="B6" s="3" t="inlineStr"/>
      <c r="C6" s="3" t="inlineStr"/>
      <c r="D6" s="3" t="inlineStr"/>
      <c r="E6" s="3" t="inlineStr"/>
      <c r="F6" s="3" t="inlineStr"/>
      <c r="G6" s="3" t="inlineStr"/>
      <c r="H6" s="3">
        <f>EBIT×(1-T)</f>
        <v/>
      </c>
    </row>
    <row r="7">
      <c r="A7" s="3" t="inlineStr">
        <is>
          <t>D&amp;A(万元)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</row>
    <row r="8">
      <c r="A8" s="3" t="inlineStr">
        <is>
          <t>CAPEX(万元)</t>
        </is>
      </c>
      <c r="B8" s="3" t="inlineStr"/>
      <c r="C8" s="3" t="inlineStr"/>
      <c r="D8" s="3" t="inlineStr"/>
      <c r="E8" s="3" t="inlineStr"/>
      <c r="F8" s="3" t="inlineStr"/>
      <c r="G8" s="3" t="inlineStr"/>
      <c r="H8" s="3" t="inlineStr"/>
    </row>
    <row r="9">
      <c r="A9" s="3" t="inlineStr">
        <is>
          <t>ΔNWC(万元)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</row>
    <row r="10">
      <c r="A10" s="3" t="inlineStr">
        <is>
          <t>FCFF(万元)</t>
        </is>
      </c>
      <c r="B10" s="3" t="inlineStr"/>
      <c r="C10" s="3" t="inlineStr"/>
      <c r="D10" s="3" t="inlineStr"/>
      <c r="E10" s="3" t="inlineStr"/>
      <c r="F10" s="3" t="inlineStr"/>
      <c r="G10" s="3" t="inlineStr"/>
      <c r="H10" s="3">
        <f>NOPAT+D&amp;A-CAPEX-ΔNWC</f>
        <v/>
      </c>
    </row>
    <row r="1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  <c r="H11" s="3" t="inlineStr"/>
    </row>
    <row r="12">
      <c r="A12" s="3" t="inlineStr">
        <is>
          <t>折现因子</t>
        </is>
      </c>
      <c r="B12" s="3" t="inlineStr"/>
      <c r="C12" s="3" t="inlineStr"/>
      <c r="D12" s="3" t="inlineStr"/>
      <c r="E12" s="3" t="inlineStr"/>
      <c r="F12" s="3" t="inlineStr"/>
      <c r="G12" s="3" t="inlineStr"/>
      <c r="H12" s="3" t="inlineStr"/>
    </row>
    <row r="13">
      <c r="A13" s="3" t="inlineStr">
        <is>
          <t>PV(FCFF)(万元)</t>
        </is>
      </c>
      <c r="B13" s="3" t="inlineStr"/>
      <c r="C13" s="3" t="inlineStr"/>
      <c r="D13" s="3" t="inlineStr"/>
      <c r="E13" s="3" t="inlineStr"/>
      <c r="F13" s="3" t="inlineStr"/>
      <c r="G13" s="3" t="inlineStr"/>
      <c r="H13" s="3" t="inlineStr"/>
    </row>
    <row r="14">
      <c r="A14" s="3" t="inlineStr"/>
      <c r="B14" s="3" t="inlineStr"/>
      <c r="C14" s="3" t="inlineStr"/>
      <c r="D14" s="3" t="inlineStr"/>
      <c r="E14" s="3" t="inlineStr"/>
      <c r="F14" s="3" t="inlineStr"/>
      <c r="G14" s="3" t="inlineStr"/>
      <c r="H14" s="3" t="inlineStr"/>
    </row>
    <row r="15">
      <c r="A15" s="3" t="inlineStr">
        <is>
          <t>WACC</t>
        </is>
      </c>
      <c r="B15" s="3" t="inlineStr"/>
      <c r="C15" s="3" t="inlineStr"/>
      <c r="D15" s="3" t="inlineStr"/>
      <c r="E15" s="3" t="inlineStr"/>
      <c r="F15" s="3" t="inlineStr"/>
      <c r="G15" s="3" t="inlineStr"/>
      <c r="H15" s="3" t="inlineStr">
        <is>
          <t>标的行业β×市场参数</t>
        </is>
      </c>
    </row>
    <row r="16">
      <c r="A16" s="3" t="inlineStr">
        <is>
          <t>永续增长率g</t>
        </is>
      </c>
      <c r="B16" s="3" t="inlineStr"/>
      <c r="C16" s="3" t="inlineStr"/>
      <c r="D16" s="3" t="inlineStr"/>
      <c r="E16" s="3" t="inlineStr"/>
      <c r="F16" s="3" t="inlineStr"/>
      <c r="G16" s="3" t="inlineStr"/>
      <c r="H16" s="3" t="inlineStr"/>
    </row>
    <row r="17">
      <c r="A17" s="3" t="inlineStr">
        <is>
          <t>终值TV(万元)</t>
        </is>
      </c>
      <c r="B17" s="3" t="inlineStr"/>
      <c r="C17" s="3" t="inlineStr"/>
      <c r="D17" s="3" t="inlineStr"/>
      <c r="E17" s="3" t="inlineStr"/>
      <c r="F17" s="3" t="inlineStr"/>
      <c r="G17" s="3" t="inlineStr"/>
      <c r="H17" s="3" t="inlineStr"/>
    </row>
    <row r="18">
      <c r="A18" s="3" t="inlineStr">
        <is>
          <t>EV(万元)</t>
        </is>
      </c>
      <c r="B18" s="3" t="inlineStr"/>
      <c r="C18" s="3" t="inlineStr"/>
      <c r="D18" s="3" t="inlineStr"/>
      <c r="E18" s="3" t="inlineStr"/>
      <c r="F18" s="3" t="inlineStr"/>
      <c r="G18" s="3" t="inlineStr"/>
      <c r="H18" s="3">
        <f>ΣPV(FCFF)+PV(TV)</f>
        <v/>
      </c>
    </row>
    <row r="19">
      <c r="A19" s="3" t="inlineStr">
        <is>
          <t>+现金(万元)</t>
        </is>
      </c>
      <c r="B19" s="3" t="inlineStr"/>
      <c r="C19" s="3" t="inlineStr"/>
      <c r="D19" s="3" t="inlineStr"/>
      <c r="E19" s="3" t="inlineStr"/>
      <c r="F19" s="3" t="inlineStr"/>
      <c r="G19" s="3" t="inlineStr"/>
      <c r="H19" s="3" t="inlineStr"/>
    </row>
    <row r="20">
      <c r="A20" s="3" t="inlineStr">
        <is>
          <t>-有息负债(万元)</t>
        </is>
      </c>
      <c r="B20" s="3" t="inlineStr"/>
      <c r="C20" s="3" t="inlineStr"/>
      <c r="D20" s="3" t="inlineStr"/>
      <c r="E20" s="3" t="inlineStr"/>
      <c r="F20" s="3" t="inlineStr"/>
      <c r="G20" s="3" t="inlineStr"/>
      <c r="H20" s="3" t="inlineStr"/>
    </row>
    <row r="21">
      <c r="A21" s="3" t="inlineStr">
        <is>
          <t>-少数股东权益(万元)</t>
        </is>
      </c>
      <c r="B21" s="3" t="inlineStr"/>
      <c r="C21" s="3" t="inlineStr"/>
      <c r="D21" s="3" t="inlineStr"/>
      <c r="E21" s="3" t="inlineStr"/>
      <c r="F21" s="3" t="inlineStr"/>
      <c r="G21" s="3" t="inlineStr"/>
      <c r="H21" s="3" t="inlineStr"/>
    </row>
    <row r="22">
      <c r="A22" s="3" t="inlineStr">
        <is>
          <t>股权价值(万元)</t>
        </is>
      </c>
      <c r="B22" s="3" t="inlineStr"/>
      <c r="C22" s="3" t="inlineStr"/>
      <c r="D22" s="3" t="inlineStr"/>
      <c r="E22" s="3" t="inlineStr"/>
      <c r="F22" s="3" t="inlineStr"/>
      <c r="G22" s="3" t="inlineStr"/>
      <c r="H22" s="3" t="inlineStr"/>
    </row>
    <row r="23">
      <c r="A23" s="3" t="inlineStr">
        <is>
          <t>收购比例对应价值(万元)</t>
        </is>
      </c>
      <c r="B23" s="3" t="inlineStr"/>
      <c r="C23" s="3" t="inlineStr"/>
      <c r="D23" s="3" t="inlineStr"/>
      <c r="E23" s="3" t="inlineStr"/>
      <c r="F23" s="3" t="inlineStr"/>
      <c r="G23" s="3" t="inlineStr"/>
      <c r="H23" s="3">
        <f>股权价值×收购%</f>
        <v/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30" customHeight="1">
      <c r="A1" s="1" t="inlineStr">
        <is>
          <t>备考合并视角(含关联交易抵消)</t>
        </is>
      </c>
    </row>
    <row r="2">
      <c r="A2" s="2" t="inlineStr">
        <is>
          <t>项目</t>
        </is>
      </c>
      <c r="B2" s="2" t="inlineStr">
        <is>
          <t>发行人</t>
        </is>
      </c>
      <c r="C2" s="2" t="inlineStr">
        <is>
          <t>标的</t>
        </is>
      </c>
      <c r="D2" s="2" t="inlineStr">
        <is>
          <t>抵消/调整</t>
        </is>
      </c>
      <c r="E2" s="2" t="inlineStr">
        <is>
          <t>备考合并</t>
        </is>
      </c>
      <c r="F2" s="2" t="inlineStr">
        <is>
          <t>备注</t>
        </is>
      </c>
    </row>
    <row r="3">
      <c r="A3" s="3" t="inlineStr">
        <is>
          <t>营业收入(万元)</t>
        </is>
      </c>
      <c r="B3" s="3" t="inlineStr"/>
      <c r="C3" s="3" t="inlineStr"/>
      <c r="D3" s="3" t="inlineStr"/>
      <c r="E3" s="3" t="inlineStr"/>
      <c r="F3" s="3" t="inlineStr">
        <is>
          <t>标的内部销售需抵消</t>
        </is>
      </c>
    </row>
    <row r="4">
      <c r="A4" s="3" t="inlineStr">
        <is>
          <t>营业成本(万元)</t>
        </is>
      </c>
      <c r="B4" s="3" t="inlineStr"/>
      <c r="C4" s="3" t="inlineStr"/>
      <c r="D4" s="3" t="inlineStr"/>
      <c r="E4" s="3" t="inlineStr"/>
      <c r="F4" s="3" t="inlineStr">
        <is>
          <t>发行人采购标的金额抵消</t>
        </is>
      </c>
    </row>
    <row r="5">
      <c r="A5" s="3" t="inlineStr">
        <is>
          <t>毛利(万元)</t>
        </is>
      </c>
      <c r="B5" s="3" t="inlineStr"/>
      <c r="C5" s="3" t="inlineStr"/>
      <c r="D5" s="3" t="inlineStr"/>
      <c r="E5" s="3" t="inlineStr"/>
      <c r="F5" s="3">
        <f>收入-成本</f>
        <v/>
      </c>
    </row>
    <row r="6">
      <c r="A6" s="3" t="inlineStr">
        <is>
          <t>毛利率</t>
        </is>
      </c>
      <c r="B6" s="3" t="inlineStr"/>
      <c r="C6" s="3" t="inlineStr"/>
      <c r="D6" s="3" t="inlineStr"/>
      <c r="E6" s="3" t="inlineStr"/>
      <c r="F6" s="3" t="inlineStr">
        <is>
          <t>合并后通常上升</t>
        </is>
      </c>
    </row>
    <row r="7">
      <c r="A7" s="3" t="inlineStr"/>
      <c r="B7" s="3" t="inlineStr"/>
      <c r="C7" s="3" t="inlineStr"/>
      <c r="D7" s="3" t="inlineStr"/>
      <c r="E7" s="3" t="inlineStr"/>
      <c r="F7" s="3" t="inlineStr"/>
    </row>
    <row r="8">
      <c r="A8" s="3" t="inlineStr">
        <is>
          <t>归母净利润(万元)</t>
        </is>
      </c>
      <c r="B8" s="3" t="inlineStr"/>
      <c r="C8" s="3" t="inlineStr"/>
      <c r="D8" s="3" t="inlineStr"/>
      <c r="E8" s="3" t="inlineStr"/>
      <c r="F8" s="3" t="inlineStr">
        <is>
          <t>扣除少数股东</t>
        </is>
      </c>
    </row>
    <row r="9">
      <c r="A9" s="3" t="inlineStr">
        <is>
          <t>总资产(万元)</t>
        </is>
      </c>
      <c r="B9" s="3" t="inlineStr"/>
      <c r="C9" s="3" t="inlineStr"/>
      <c r="D9" s="3" t="inlineStr"/>
      <c r="E9" s="3" t="inlineStr"/>
      <c r="F9" s="3" t="inlineStr"/>
    </row>
    <row r="10">
      <c r="A10" s="3" t="inlineStr">
        <is>
          <t>归母净资产(万元)</t>
        </is>
      </c>
      <c r="B10" s="3" t="inlineStr"/>
      <c r="C10" s="3" t="inlineStr"/>
      <c r="D10" s="3" t="inlineStr"/>
      <c r="E10" s="3" t="inlineStr"/>
      <c r="F10" s="3" t="inlineStr"/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6" customWidth="1" min="3" max="3"/>
    <col width="20" customWidth="1" min="4" max="4"/>
    <col width="18" customWidth="1" min="5" max="5"/>
  </cols>
  <sheetData>
    <row r="1" ht="30" customHeight="1">
      <c r="A1" s="1" t="inlineStr">
        <is>
          <t>协同效应量化</t>
        </is>
      </c>
    </row>
    <row r="2">
      <c r="A2" s="2" t="inlineStr">
        <is>
          <t>协同类型</t>
        </is>
      </c>
      <c r="B2" s="2" t="inlineStr">
        <is>
          <t>年化节约(万元)</t>
        </is>
      </c>
      <c r="C2" s="2" t="inlineStr">
        <is>
          <t>兑现时间</t>
        </is>
      </c>
      <c r="D2" s="2" t="inlineStr">
        <is>
          <t>永续价值(万元)</t>
        </is>
      </c>
      <c r="E2" s="2" t="inlineStr">
        <is>
          <t>数据来源/假设</t>
        </is>
      </c>
    </row>
    <row r="3">
      <c r="A3" s="3" t="inlineStr">
        <is>
          <t>① 成本节约(原材料自产替代外购)</t>
        </is>
      </c>
      <c r="B3" s="3" t="inlineStr"/>
      <c r="C3" s="3" t="inlineStr"/>
      <c r="D3" s="3" t="inlineStr"/>
      <c r="E3" s="3" t="inlineStr">
        <is>
          <t>价差×年用量</t>
        </is>
      </c>
    </row>
    <row r="4">
      <c r="A4" s="3" t="inlineStr">
        <is>
          <t xml:space="preserve">   - 原材料A价差节约</t>
        </is>
      </c>
      <c r="B4" s="3" t="inlineStr"/>
      <c r="C4" s="3" t="inlineStr"/>
      <c r="D4" s="3" t="inlineStr"/>
      <c r="E4" s="3" t="inlineStr"/>
    </row>
    <row r="5">
      <c r="A5" s="3" t="inlineStr">
        <is>
          <t xml:space="preserve">   - 运输/物流成本降低</t>
        </is>
      </c>
      <c r="B5" s="3" t="inlineStr"/>
      <c r="C5" s="3" t="inlineStr"/>
      <c r="D5" s="3" t="inlineStr"/>
      <c r="E5" s="3" t="inlineStr"/>
    </row>
    <row r="6">
      <c r="A6" s="3" t="inlineStr">
        <is>
          <t>② 收入增长(交叉销售)</t>
        </is>
      </c>
      <c r="B6" s="3" t="inlineStr"/>
      <c r="C6" s="3" t="inlineStr"/>
      <c r="D6" s="3" t="inlineStr"/>
      <c r="E6" s="3" t="inlineStr">
        <is>
          <t>如可量化</t>
        </is>
      </c>
    </row>
    <row r="7">
      <c r="A7" s="3" t="inlineStr">
        <is>
          <t>③ 管理整合(职能合并)</t>
        </is>
      </c>
      <c r="B7" s="3" t="inlineStr"/>
      <c r="C7" s="3" t="inlineStr"/>
      <c r="D7" s="3" t="inlineStr"/>
      <c r="E7" s="3" t="inlineStr">
        <is>
          <t>一般定性描述</t>
        </is>
      </c>
    </row>
    <row r="8">
      <c r="A8" s="3" t="inlineStr"/>
      <c r="B8" s="3" t="inlineStr"/>
      <c r="C8" s="3" t="inlineStr"/>
      <c r="D8" s="3" t="inlineStr"/>
      <c r="E8" s="3" t="inlineStr"/>
    </row>
    <row r="9">
      <c r="A9" s="3" t="inlineStr">
        <is>
          <t>年化协同合计(万元)</t>
        </is>
      </c>
      <c r="B9" s="3" t="inlineStr"/>
      <c r="C9" s="3" t="inlineStr"/>
      <c r="D9" s="3" t="inlineStr"/>
      <c r="E9" s="3" t="inlineStr"/>
    </row>
    <row r="10">
      <c r="A10" s="3" t="inlineStr">
        <is>
          <t>协同永续价值(万元)</t>
        </is>
      </c>
      <c r="B10" s="3" t="inlineStr"/>
      <c r="C10" s="3" t="inlineStr"/>
      <c r="D10" s="3" t="inlineStr"/>
      <c r="E10" s="3">
        <f>年化合计/WACC</f>
        <v/>
      </c>
    </row>
    <row r="11">
      <c r="A11" s="3" t="inlineStr"/>
      <c r="B11" s="3" t="inlineStr"/>
      <c r="C11" s="3" t="inlineStr"/>
      <c r="D11" s="3" t="inlineStr"/>
      <c r="E11" s="3" t="inlineStr"/>
    </row>
    <row r="12">
      <c r="A12" s="3" t="inlineStr">
        <is>
          <t>协同/收购对价</t>
        </is>
      </c>
      <c r="B12" s="3" t="inlineStr"/>
      <c r="C12" s="3" t="inlineStr"/>
      <c r="D12" s="3" t="inlineStr"/>
      <c r="E12" s="3" t="inlineStr">
        <is>
          <t>&gt;100%→极度划算</t>
        </is>
      </c>
    </row>
    <row r="13">
      <c r="A13" s="3" t="inlineStr">
        <is>
          <t>协同/收购对价</t>
        </is>
      </c>
      <c r="B13" s="3" t="inlineStr"/>
      <c r="C13" s="3" t="inlineStr"/>
      <c r="D13" s="3" t="inlineStr"/>
      <c r="E13" s="3" t="inlineStr">
        <is>
          <t>50-100%→合理</t>
        </is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16" customWidth="1" min="4" max="4"/>
    <col width="16" customWidth="1" min="5" max="5"/>
  </cols>
  <sheetData>
    <row r="1" ht="30" customHeight="1">
      <c r="A1" s="1" t="inlineStr">
        <is>
          <t>综合价值影响总结</t>
        </is>
      </c>
    </row>
    <row r="2">
      <c r="A2" s="2" t="inlineStr">
        <is>
          <t>项目</t>
        </is>
      </c>
      <c r="B2" s="2" t="inlineStr">
        <is>
          <t>金额(万元)</t>
        </is>
      </c>
      <c r="C2" s="2" t="inlineStr">
        <is>
          <t>每股(元/股)</t>
        </is>
      </c>
      <c r="D2" s="2" t="inlineStr">
        <is>
          <t>占比</t>
        </is>
      </c>
      <c r="E2" s="2" t="inlineStr">
        <is>
          <t>备注</t>
        </is>
      </c>
    </row>
    <row r="3">
      <c r="A3" s="3" t="inlineStr">
        <is>
          <t>发行人独立价值</t>
        </is>
      </c>
      <c r="B3" s="3" t="inlineStr"/>
      <c r="C3" s="3" t="inlineStr"/>
      <c r="D3" s="3" t="inlineStr"/>
      <c r="E3" s="3" t="inlineStr">
        <is>
          <t>P/E或DCF</t>
        </is>
      </c>
    </row>
    <row r="4">
      <c r="A4" s="3" t="inlineStr">
        <is>
          <t>标的DCF股权价值(收购比例)</t>
        </is>
      </c>
      <c r="B4" s="3" t="inlineStr"/>
      <c r="C4" s="3" t="inlineStr"/>
      <c r="D4" s="3" t="inlineStr"/>
      <c r="E4" s="3" t="inlineStr"/>
    </row>
    <row r="5">
      <c r="A5" s="3" t="inlineStr">
        <is>
          <t>协同永续价值</t>
        </is>
      </c>
      <c r="B5" s="3" t="inlineStr"/>
      <c r="C5" s="3" t="inlineStr"/>
      <c r="D5" s="3" t="inlineStr"/>
      <c r="E5" s="3" t="inlineStr"/>
    </row>
    <row r="6">
      <c r="A6" s="3" t="inlineStr"/>
      <c r="B6" s="3" t="inlineStr"/>
      <c r="C6" s="3" t="inlineStr"/>
      <c r="D6" s="3" t="inlineStr"/>
      <c r="E6" s="3" t="inlineStr"/>
    </row>
    <row r="7">
      <c r="A7" s="3" t="inlineStr">
        <is>
          <t>发行前总价值</t>
        </is>
      </c>
      <c r="B7" s="3" t="inlineStr"/>
      <c r="C7" s="3" t="inlineStr"/>
      <c r="D7" s="3" t="inlineStr"/>
      <c r="E7" s="3">
        <f>发行人价值</f>
        <v/>
      </c>
    </row>
    <row r="8">
      <c r="A8" s="3" t="inlineStr">
        <is>
          <t>发行后总价值</t>
        </is>
      </c>
      <c r="B8" s="3" t="inlineStr"/>
      <c r="C8" s="3" t="inlineStr"/>
      <c r="D8" s="3" t="inlineStr"/>
      <c r="E8" s="3">
        <f>发行人+标的+协同</f>
        <v/>
      </c>
    </row>
    <row r="9">
      <c r="A9" s="3" t="inlineStr"/>
      <c r="B9" s="3" t="inlineStr"/>
      <c r="C9" s="3" t="inlineStr"/>
      <c r="D9" s="3" t="inlineStr"/>
      <c r="E9" s="3" t="inlineStr"/>
    </row>
    <row r="10">
      <c r="A10" s="3" t="inlineStr">
        <is>
          <t>① 股本稀释效应(每股)</t>
        </is>
      </c>
      <c r="B10" s="3" t="inlineStr"/>
      <c r="C10" s="3" t="inlineStr"/>
      <c r="D10" s="3" t="inlineStr"/>
      <c r="E10" s="3" t="inlineStr">
        <is>
          <t>负值(发行后-前)</t>
        </is>
      </c>
    </row>
    <row r="11">
      <c r="A11" s="3" t="inlineStr">
        <is>
          <t>② 标的贡献(每股)</t>
        </is>
      </c>
      <c r="B11" s="3" t="inlineStr"/>
      <c r="C11" s="3" t="inlineStr"/>
      <c r="D11" s="3" t="inlineStr"/>
      <c r="E11" s="3" t="inlineStr">
        <is>
          <t>标的价值/发行后股本</t>
        </is>
      </c>
    </row>
    <row r="12">
      <c r="A12" s="3" t="inlineStr">
        <is>
          <t>③ 协同贡献(每股)</t>
        </is>
      </c>
      <c r="B12" s="3" t="inlineStr"/>
      <c r="C12" s="3" t="inlineStr"/>
      <c r="D12" s="3" t="inlineStr"/>
      <c r="E12" s="3" t="inlineStr">
        <is>
          <t>协同价值/发行后股本</t>
        </is>
      </c>
    </row>
    <row r="13">
      <c r="A13" s="3" t="inlineStr">
        <is>
          <t>净效应(每股)</t>
        </is>
      </c>
      <c r="B13" s="3" t="inlineStr"/>
      <c r="C13" s="3" t="inlineStr"/>
      <c r="D13" s="3" t="inlineStr"/>
      <c r="E13" s="3">
        <f>②+③+①</f>
        <v/>
      </c>
    </row>
    <row r="14">
      <c r="A14" s="3" t="inlineStr"/>
      <c r="B14" s="3" t="inlineStr"/>
      <c r="C14" s="3" t="inlineStr"/>
      <c r="D14" s="3" t="inlineStr"/>
      <c r="E14" s="3" t="inlineStr"/>
    </row>
    <row r="15">
      <c r="A15" s="3" t="inlineStr">
        <is>
          <t>判断：收购是否创造每股价值？</t>
        </is>
      </c>
      <c r="B15" s="3" t="inlineStr"/>
      <c r="C15" s="3" t="inlineStr"/>
      <c r="D15" s="3" t="inlineStr"/>
      <c r="E15" s="3" t="inlineStr">
        <is>
          <t>净效应&gt;0→创造✓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2026-06-01T05:58:47Z</dcterms:created>
  <dcterms:modified xmlns:dcterms="http://purl.org/dc/terms/" xmlns:xsi="http://www.w3.org/2001/XMLSchema-instance" xsi:type="dcterms:W3CDTF">2026-06-01T05:58:47Z</dcterms:modified>
</cp:coreProperties>
</file>