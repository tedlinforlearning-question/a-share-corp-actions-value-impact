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估值" sheetId="1" state="visible" r:id="rId1"/>
    <sheet xmlns:r="http://schemas.openxmlformats.org/officeDocument/2006/relationships" name="参数汇总" sheetId="2" state="visible" r:id="rId2"/>
    <sheet xmlns:r="http://schemas.openxmlformats.org/officeDocument/2006/relationships" name="敏感性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006100"/>
      <sz val="10"/>
    </font>
    <font>
      <name val="微软雅黑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/>
    </xf>
    <xf numFmtId="4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</cols>
  <sheetData>
    <row r="1">
      <c r="A1" s="1" t="inlineStr">
        <is>
          <t>独立 DCF 估值模型</t>
        </is>
      </c>
    </row>
    <row r="2">
      <c r="A2" s="2" t="inlineStr">
        <is>
          <t>一、收入预测</t>
        </is>
      </c>
    </row>
    <row r="3">
      <c r="A3" s="1" t="inlineStr">
        <is>
          <t>项目</t>
        </is>
      </c>
      <c r="B3" s="1" t="inlineStr">
        <is>
          <t>2025E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</row>
    <row r="4">
      <c r="A4" s="3" t="inlineStr">
        <is>
          <t>营业收入(万元)</t>
        </is>
      </c>
      <c r="B4" s="4" t="n">
        <v>235200</v>
      </c>
      <c r="C4" s="4" t="n">
        <v>258720.0000000001</v>
      </c>
      <c r="D4" s="4" t="n">
        <v>279417.6000000001</v>
      </c>
      <c r="E4" s="4" t="n">
        <v>296182.6560000001</v>
      </c>
      <c r="F4" s="4" t="n">
        <v>308029.9622400001</v>
      </c>
      <c r="G4" s="4" t="n">
        <v>317270.8611072002</v>
      </c>
    </row>
    <row r="5">
      <c r="A5" s="5" t="inlineStr">
        <is>
          <t>收入增长率</t>
        </is>
      </c>
      <c r="B5" s="6" t="n">
        <v>0.12</v>
      </c>
      <c r="C5" s="6" t="n">
        <v>0.1</v>
      </c>
      <c r="D5" s="6" t="n">
        <v>0.08</v>
      </c>
      <c r="E5" s="6" t="n">
        <v>0.06</v>
      </c>
      <c r="F5" s="6" t="n">
        <v>0.04</v>
      </c>
      <c r="G5" s="6" t="n">
        <v>0.03</v>
      </c>
    </row>
    <row r="6"/>
    <row r="7">
      <c r="A7" s="2" t="inlineStr">
        <is>
          <t>二、利润预测</t>
        </is>
      </c>
    </row>
    <row r="8">
      <c r="A8" s="1" t="inlineStr">
        <is>
          <t>项目</t>
        </is>
      </c>
      <c r="B8" s="1" t="inlineStr">
        <is>
          <t>2025E</t>
        </is>
      </c>
      <c r="C8" s="1" t="inlineStr">
        <is>
          <t>2026E</t>
        </is>
      </c>
      <c r="D8" s="1" t="inlineStr">
        <is>
          <t>2027E</t>
        </is>
      </c>
      <c r="E8" s="1" t="inlineStr">
        <is>
          <t>2028E</t>
        </is>
      </c>
      <c r="F8" s="1" t="inlineStr">
        <is>
          <t>2029E</t>
        </is>
      </c>
      <c r="G8" s="1" t="inlineStr">
        <is>
          <t>2030E</t>
        </is>
      </c>
    </row>
    <row r="9">
      <c r="A9" s="5" t="inlineStr">
        <is>
          <t>EBIT(万元)</t>
        </is>
      </c>
      <c r="B9" s="6" t="n">
        <v>43512.00000000001</v>
      </c>
      <c r="C9" s="6" t="n">
        <v>47863.20000000001</v>
      </c>
      <c r="D9" s="6" t="n">
        <v>51692.25600000002</v>
      </c>
      <c r="E9" s="6" t="n">
        <v>54793.79136000002</v>
      </c>
      <c r="F9" s="6" t="n">
        <v>56985.54301440003</v>
      </c>
      <c r="G9" s="6" t="n">
        <v>58695.10930483203</v>
      </c>
    </row>
    <row r="10">
      <c r="A10" s="3" t="inlineStr">
        <is>
          <t>NOPAT = EBIT×(1-T)(万元)</t>
        </is>
      </c>
      <c r="B10" s="4" t="n">
        <v>36985.2</v>
      </c>
      <c r="C10" s="4" t="n">
        <v>40683.72000000001</v>
      </c>
      <c r="D10" s="4" t="n">
        <v>43938.41760000002</v>
      </c>
      <c r="E10" s="4" t="n">
        <v>46574.72265600002</v>
      </c>
      <c r="F10" s="4" t="n">
        <v>48437.71156224002</v>
      </c>
      <c r="G10" s="4" t="n">
        <v>49890.84290910722</v>
      </c>
    </row>
    <row r="11"/>
    <row r="12">
      <c r="A12" s="2" t="inlineStr">
        <is>
          <t>三、FCFF 计算</t>
        </is>
      </c>
    </row>
    <row r="13">
      <c r="A13" s="1" t="inlineStr">
        <is>
          <t>项目</t>
        </is>
      </c>
      <c r="B13" s="1" t="inlineStr">
        <is>
          <t>2025E</t>
        </is>
      </c>
      <c r="C13" s="1" t="inlineStr">
        <is>
          <t>2026E</t>
        </is>
      </c>
      <c r="D13" s="1" t="inlineStr">
        <is>
          <t>2027E</t>
        </is>
      </c>
      <c r="E13" s="1" t="inlineStr">
        <is>
          <t>2028E</t>
        </is>
      </c>
      <c r="F13" s="1" t="inlineStr">
        <is>
          <t>2029E</t>
        </is>
      </c>
      <c r="G13" s="1" t="inlineStr">
        <is>
          <t>2030E</t>
        </is>
      </c>
    </row>
    <row r="14">
      <c r="A14" s="5" t="inlineStr">
        <is>
          <t>NOPAT</t>
        </is>
      </c>
      <c r="B14" s="6" t="n">
        <v>36985.2</v>
      </c>
      <c r="C14" s="6" t="n">
        <v>40683.72000000001</v>
      </c>
      <c r="D14" s="6" t="n">
        <v>43938.41760000002</v>
      </c>
      <c r="E14" s="6" t="n">
        <v>46574.72265600002</v>
      </c>
      <c r="F14" s="6" t="n">
        <v>48437.71156224002</v>
      </c>
      <c r="G14" s="6" t="n">
        <v>49890.84290910722</v>
      </c>
    </row>
    <row r="15">
      <c r="A15" s="5" t="inlineStr">
        <is>
          <t>+ 折旧摊销(D&amp;A)</t>
        </is>
      </c>
      <c r="B15" s="6" t="n">
        <v>9870</v>
      </c>
      <c r="C15" s="6" t="n">
        <v>10363.5</v>
      </c>
      <c r="D15" s="6" t="n">
        <v>10881.675</v>
      </c>
      <c r="E15" s="6" t="n">
        <v>11425.75875</v>
      </c>
      <c r="F15" s="6" t="n">
        <v>11997.0466875</v>
      </c>
      <c r="G15" s="6" t="n">
        <v>12596.899021875</v>
      </c>
    </row>
    <row r="16">
      <c r="A16" s="5" t="inlineStr">
        <is>
          <t>- CAPEX</t>
        </is>
      </c>
      <c r="B16" s="6" t="n">
        <v>-12000</v>
      </c>
      <c r="C16" s="6" t="n">
        <v>-12000</v>
      </c>
      <c r="D16" s="6" t="n">
        <v>-12000</v>
      </c>
      <c r="E16" s="6" t="n">
        <v>-12000</v>
      </c>
      <c r="F16" s="6" t="n">
        <v>-12000</v>
      </c>
      <c r="G16" s="6" t="n">
        <v>-12000</v>
      </c>
    </row>
    <row r="17">
      <c r="A17" s="5" t="inlineStr">
        <is>
          <t>- ΔNWC</t>
        </is>
      </c>
      <c r="B17" s="6" t="n">
        <v>-47040.00000000001</v>
      </c>
      <c r="C17" s="6" t="n">
        <v>-4704.000000000007</v>
      </c>
      <c r="D17" s="6" t="n">
        <v>-4139.520000000004</v>
      </c>
      <c r="E17" s="6" t="n">
        <v>-3353.011200000008</v>
      </c>
      <c r="F17" s="6" t="n">
        <v>-2369.461248000007</v>
      </c>
      <c r="G17" s="6" t="n">
        <v>-1848.179773440002</v>
      </c>
    </row>
    <row r="18">
      <c r="A18" s="3">
        <f> FCFF</f>
        <v/>
      </c>
      <c r="B18" s="4" t="n">
        <v>-12184.8</v>
      </c>
      <c r="C18" s="4" t="n">
        <v>34343.22</v>
      </c>
      <c r="D18" s="4" t="n">
        <v>38680.57260000001</v>
      </c>
      <c r="E18" s="4" t="n">
        <v>42647.47020600001</v>
      </c>
      <c r="F18" s="4" t="n">
        <v>46065.29700174002</v>
      </c>
      <c r="G18" s="4" t="n">
        <v>48639.56215754222</v>
      </c>
    </row>
    <row r="19"/>
    <row r="20">
      <c r="A20" s="2" t="inlineStr">
        <is>
          <t>四、DCF 折现</t>
        </is>
      </c>
    </row>
    <row r="21">
      <c r="A21" s="1" t="inlineStr">
        <is>
          <t>项目</t>
        </is>
      </c>
      <c r="B21" s="1" t="inlineStr">
        <is>
          <t>2025E</t>
        </is>
      </c>
      <c r="C21" s="1" t="inlineStr">
        <is>
          <t>2026E</t>
        </is>
      </c>
      <c r="D21" s="1" t="inlineStr">
        <is>
          <t>2027E</t>
        </is>
      </c>
      <c r="E21" s="1" t="inlineStr">
        <is>
          <t>2028E</t>
        </is>
      </c>
      <c r="F21" s="1" t="inlineStr">
        <is>
          <t>2029E</t>
        </is>
      </c>
      <c r="G21" s="1" t="inlineStr">
        <is>
          <t>2030E</t>
        </is>
      </c>
    </row>
    <row r="22">
      <c r="A22" s="5" t="inlineStr">
        <is>
          <t>折现因子</t>
        </is>
      </c>
      <c r="B22" s="6" t="n">
        <v>0.9164222873900294</v>
      </c>
      <c r="C22" s="6" t="n">
        <v>0.8398298088251736</v>
      </c>
      <c r="D22" s="6" t="n">
        <v>0.7696387544218967</v>
      </c>
      <c r="E22" s="6" t="n">
        <v>0.7053141077913276</v>
      </c>
      <c r="F22" s="6" t="n">
        <v>0.6463655679905862</v>
      </c>
      <c r="G22" s="6" t="n">
        <v>0.5923438123080885</v>
      </c>
    </row>
    <row r="23">
      <c r="A23" s="3" t="inlineStr">
        <is>
          <t>PV(FCFF)</t>
        </is>
      </c>
      <c r="B23" s="4" t="n">
        <v>-11166.42228739003</v>
      </c>
      <c r="C23" s="4" t="n">
        <v>28842.45988704088</v>
      </c>
      <c r="D23" s="4" t="n">
        <v>29770.06771618975</v>
      </c>
      <c r="E23" s="4" t="n">
        <v>30079.86239790213</v>
      </c>
      <c r="F23" s="4" t="n">
        <v>29775.02186118474</v>
      </c>
      <c r="G23" s="4" t="n">
        <v>28811.34367739479</v>
      </c>
    </row>
    <row r="24"/>
    <row r="25">
      <c r="A25" s="2" t="inlineStr">
        <is>
          <t>五、估值结果</t>
        </is>
      </c>
    </row>
    <row r="26">
      <c r="A26" s="5" t="inlineStr">
        <is>
          <t>PV(预测期FCFF)</t>
        </is>
      </c>
      <c r="B26" s="7" t="inlineStr">
        <is>
          <t>136,112.33</t>
        </is>
      </c>
    </row>
    <row r="27">
      <c r="A27" s="5" t="inlineStr">
        <is>
          <t>终值 TV</t>
        </is>
      </c>
      <c r="B27" s="7" t="inlineStr">
        <is>
          <t>696,802.72</t>
        </is>
      </c>
    </row>
    <row r="28">
      <c r="A28" s="5" t="inlineStr">
        <is>
          <t>PV(终值)</t>
        </is>
      </c>
      <c r="B28" s="7" t="inlineStr">
        <is>
          <t>412,746.78</t>
        </is>
      </c>
    </row>
    <row r="29">
      <c r="A29" s="5" t="inlineStr">
        <is>
          <t>终值占比</t>
        </is>
      </c>
      <c r="B29" s="7" t="inlineStr">
        <is>
          <t>75.2%</t>
        </is>
      </c>
    </row>
    <row r="30">
      <c r="A30" s="8" t="inlineStr">
        <is>
          <t>企业价值 EV</t>
        </is>
      </c>
      <c r="B30" s="9" t="inlineStr">
        <is>
          <t>548,859.11</t>
        </is>
      </c>
    </row>
    <row r="31">
      <c r="A31" s="5" t="inlineStr">
        <is>
          <t>+ 货币资金</t>
        </is>
      </c>
      <c r="B31" s="7" t="inlineStr">
        <is>
          <t>30,000.00</t>
        </is>
      </c>
    </row>
    <row r="32">
      <c r="A32" s="5" t="inlineStr">
        <is>
          <t>- 有息负债</t>
        </is>
      </c>
      <c r="B32" s="7" t="inlineStr">
        <is>
          <t>-50,000.00</t>
        </is>
      </c>
    </row>
    <row r="33">
      <c r="A33" s="5" t="inlineStr">
        <is>
          <t>- 少数股东权益</t>
        </is>
      </c>
      <c r="B33" s="7" t="inlineStr">
        <is>
          <t>-0.00</t>
        </is>
      </c>
    </row>
    <row r="34">
      <c r="A34" s="8">
        <f> 股权价值</f>
        <v/>
      </c>
      <c r="B34" s="9" t="inlineStr">
        <is>
          <t>528,859.11</t>
        </is>
      </c>
    </row>
    <row r="35">
      <c r="A35" s="5" t="inlineStr">
        <is>
          <t>总股本(万股)</t>
        </is>
      </c>
      <c r="B35" s="7" t="inlineStr">
        <is>
          <t>15,000</t>
        </is>
      </c>
    </row>
    <row r="36">
      <c r="A36" s="8" t="inlineStr">
        <is>
          <t>每股价值(元)</t>
        </is>
      </c>
      <c r="B36" s="9" t="inlineStr">
        <is>
          <t>35.26</t>
        </is>
      </c>
    </row>
    <row r="37">
      <c r="A37" s="2" t="inlineStr">
        <is>
          <t>关键假设: WACC=9.12%, g=2.0%, EBIT率=18.5%, 税率=15%</t>
        </is>
      </c>
    </row>
  </sheetData>
  <mergeCells count="7">
    <mergeCell ref="A1:G1"/>
    <mergeCell ref="A12:G12"/>
    <mergeCell ref="A20:G20"/>
    <mergeCell ref="A2:G2"/>
    <mergeCell ref="A7:G7"/>
    <mergeCell ref="A25:G2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4" customWidth="1" min="3" max="3"/>
  </cols>
  <sheetData>
    <row r="1">
      <c r="A1" s="1" t="inlineStr">
        <is>
          <t>关键假设参数 (independent)</t>
        </is>
      </c>
    </row>
    <row r="2"/>
    <row r="3">
      <c r="A3" s="8" t="inlineStr">
        <is>
          <t>估值场景</t>
        </is>
      </c>
      <c r="B3" s="5" t="inlineStr">
        <is>
          <t>independent</t>
        </is>
      </c>
    </row>
    <row r="4">
      <c r="A4" s="8" t="inlineStr">
        <is>
          <t>基准年</t>
        </is>
      </c>
      <c r="B4" s="5" t="inlineStr">
        <is>
          <t>2024</t>
        </is>
      </c>
    </row>
    <row r="5">
      <c r="A5" s="8" t="inlineStr">
        <is>
          <t>预测期</t>
        </is>
      </c>
      <c r="B5" s="5" t="inlineStr">
        <is>
          <t>6年 (2025E - 2030E)</t>
        </is>
      </c>
    </row>
    <row r="6"/>
    <row r="7">
      <c r="A7" s="8" t="inlineStr">
        <is>
          <t>基准年收入(万元)</t>
        </is>
      </c>
      <c r="B7" s="5" t="inlineStr">
        <is>
          <t>210,000.00</t>
        </is>
      </c>
    </row>
    <row r="8">
      <c r="A8" s="8" t="inlineStr">
        <is>
          <t>收入增长率</t>
        </is>
      </c>
      <c r="B8" s="5" t="inlineStr">
        <is>
          <t>12.0% → 10.0% → 8.0% → 6.0% → 4.0% → 3.0%</t>
        </is>
      </c>
    </row>
    <row r="9">
      <c r="A9" s="8" t="inlineStr">
        <is>
          <t>EBIT利润率</t>
        </is>
      </c>
      <c r="B9" s="5" t="inlineStr">
        <is>
          <t>18.5%</t>
        </is>
      </c>
    </row>
    <row r="10">
      <c r="A10" s="8" t="inlineStr">
        <is>
          <t>有效税率</t>
        </is>
      </c>
      <c r="B10" s="5" t="inlineStr">
        <is>
          <t>15.0%</t>
        </is>
      </c>
    </row>
    <row r="11"/>
    <row r="12">
      <c r="A12" s="8" t="inlineStr">
        <is>
          <t>WACC</t>
        </is>
      </c>
      <c r="B12" s="5" t="inlineStr">
        <is>
          <t>9.12%</t>
        </is>
      </c>
    </row>
    <row r="13">
      <c r="A13" s="8" t="inlineStr">
        <is>
          <t>永续增长率 g</t>
        </is>
      </c>
      <c r="B13" s="5" t="inlineStr">
        <is>
          <t>2.0%</t>
        </is>
      </c>
    </row>
    <row r="14"/>
    <row r="15">
      <c r="A15" s="8" t="inlineStr">
        <is>
          <t>基准年D&amp;A(万元)</t>
        </is>
      </c>
      <c r="B15" s="5" t="inlineStr">
        <is>
          <t>9,400.00</t>
        </is>
      </c>
    </row>
    <row r="16">
      <c r="A16" s="8" t="inlineStr">
        <is>
          <t>D&amp;A年增长率</t>
        </is>
      </c>
      <c r="B16" s="5" t="inlineStr">
        <is>
          <t>5.0%</t>
        </is>
      </c>
    </row>
    <row r="17">
      <c r="A17" s="8" t="inlineStr">
        <is>
          <t>维持性CAPEX(万元)</t>
        </is>
      </c>
      <c r="B17" s="5" t="inlineStr">
        <is>
          <t>12,000.00</t>
        </is>
      </c>
    </row>
    <row r="18">
      <c r="A18" s="8" t="inlineStr">
        <is>
          <t>NWC/收入比率</t>
        </is>
      </c>
      <c r="B18" s="5" t="inlineStr">
        <is>
          <t>20.0%</t>
        </is>
      </c>
    </row>
    <row r="19"/>
    <row r="20">
      <c r="A20" s="8" t="inlineStr">
        <is>
          <t>货币资金(万元)</t>
        </is>
      </c>
      <c r="B20" s="5" t="inlineStr">
        <is>
          <t>30,000.00</t>
        </is>
      </c>
    </row>
    <row r="21">
      <c r="A21" s="8" t="inlineStr">
        <is>
          <t>有息负债(万元)</t>
        </is>
      </c>
      <c r="B21" s="5" t="inlineStr">
        <is>
          <t>50,000.00</t>
        </is>
      </c>
    </row>
    <row r="22">
      <c r="A22" s="8" t="inlineStr">
        <is>
          <t>少数股东权益(万元)</t>
        </is>
      </c>
      <c r="B22" s="5" t="inlineStr">
        <is>
          <t>0.00</t>
        </is>
      </c>
    </row>
    <row r="23">
      <c r="A23" s="8" t="inlineStr">
        <is>
          <t>总股本(万股)</t>
        </is>
      </c>
      <c r="B23" s="5" t="inlineStr">
        <is>
          <t>15,000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敏感性分析: WACC × g (每股价值, 元)</t>
        </is>
      </c>
    </row>
    <row r="2"/>
    <row r="3">
      <c r="A3" s="1" t="inlineStr">
        <is>
          <t>WACC \ g</t>
        </is>
      </c>
      <c r="B3" s="1" t="inlineStr">
        <is>
          <t>1.0%</t>
        </is>
      </c>
      <c r="C3" s="1" t="inlineStr">
        <is>
          <t>1.5%</t>
        </is>
      </c>
      <c r="D3" s="1" t="inlineStr">
        <is>
          <t>2.0%</t>
        </is>
      </c>
      <c r="E3" s="1" t="inlineStr">
        <is>
          <t>2.5%</t>
        </is>
      </c>
      <c r="F3" s="1" t="inlineStr">
        <is>
          <t>3.0%</t>
        </is>
      </c>
    </row>
    <row r="4">
      <c r="A4" s="10" t="inlineStr">
        <is>
          <t>7.0%</t>
        </is>
      </c>
      <c r="B4" s="11" t="n">
        <v>49.63</v>
      </c>
      <c r="C4" s="11" t="n">
        <v>54.54</v>
      </c>
      <c r="D4" s="11" t="n">
        <v>60.43</v>
      </c>
      <c r="E4" s="11" t="n">
        <v>67.63</v>
      </c>
      <c r="F4" s="11" t="n">
        <v>76.63</v>
      </c>
    </row>
    <row r="5">
      <c r="A5" s="10" t="inlineStr">
        <is>
          <t>8.0%</t>
        </is>
      </c>
      <c r="B5" s="11" t="n">
        <v>39.98</v>
      </c>
      <c r="C5" s="11" t="n">
        <v>43.38</v>
      </c>
      <c r="D5" s="11" t="n">
        <v>47.34</v>
      </c>
      <c r="E5" s="11" t="n">
        <v>52.03</v>
      </c>
      <c r="F5" s="11" t="n">
        <v>57.65</v>
      </c>
    </row>
    <row r="6">
      <c r="A6" s="12" t="inlineStr">
        <is>
          <t>9.0%</t>
        </is>
      </c>
      <c r="B6" s="13" t="n">
        <v>32.87</v>
      </c>
      <c r="C6" s="13" t="n">
        <v>35.33</v>
      </c>
      <c r="D6" s="14" t="n">
        <v>38.15</v>
      </c>
      <c r="E6" s="11" t="n">
        <v>41.39</v>
      </c>
      <c r="F6" s="11" t="n">
        <v>45.18</v>
      </c>
    </row>
    <row r="7">
      <c r="A7" s="10" t="inlineStr">
        <is>
          <t>10.0%</t>
        </is>
      </c>
      <c r="B7" s="13" t="n">
        <v>27.45</v>
      </c>
      <c r="C7" s="13" t="n">
        <v>29.29</v>
      </c>
      <c r="D7" s="13" t="n">
        <v>31.37</v>
      </c>
      <c r="E7" s="13" t="n">
        <v>33.72</v>
      </c>
      <c r="F7" s="11" t="n">
        <v>36.41</v>
      </c>
    </row>
    <row r="8">
      <c r="A8" s="10" t="inlineStr">
        <is>
          <t>11.0%</t>
        </is>
      </c>
      <c r="B8" s="13" t="n">
        <v>23.2</v>
      </c>
      <c r="C8" s="13" t="n">
        <v>24.62</v>
      </c>
      <c r="D8" s="13" t="n">
        <v>26.2</v>
      </c>
      <c r="E8" s="13" t="n">
        <v>27.96</v>
      </c>
      <c r="F8" s="13" t="n">
        <v>29.94</v>
      </c>
    </row>
    <row r="9">
      <c r="A9" s="10" t="inlineStr">
        <is>
          <t>12.0%</t>
        </is>
      </c>
      <c r="B9" s="13" t="n">
        <v>19.8</v>
      </c>
      <c r="C9" s="13" t="n">
        <v>20.92</v>
      </c>
      <c r="D9" s="13" t="n">
        <v>22.15</v>
      </c>
      <c r="E9" s="13" t="n">
        <v>23.5</v>
      </c>
      <c r="F9" s="13" t="n">
        <v>25.01</v>
      </c>
    </row>
    <row r="10">
      <c r="A10" s="10" t="inlineStr">
        <is>
          <t>13.0%</t>
        </is>
      </c>
      <c r="B10" s="13" t="n">
        <v>17.04</v>
      </c>
      <c r="C10" s="13" t="n">
        <v>17.93</v>
      </c>
      <c r="D10" s="13" t="n">
        <v>18.9</v>
      </c>
      <c r="E10" s="13" t="n">
        <v>19.97</v>
      </c>
      <c r="F10" s="13" t="n">
        <v>21.15</v>
      </c>
    </row>
    <row r="11"/>
    <row r="12">
      <c r="A12" s="2" t="inlineStr">
        <is>
          <t>图例: 绿色背景+红色字体=基准情景 | 绿色字体=高于基准 | 红色字体=低于基准</t>
        </is>
      </c>
    </row>
    <row r="13">
      <c r="A13" s="2" t="inlineStr">
        <is>
          <t>基准情景: WACC=9.12%, g=2.0% → 每股价值 36.30 元</t>
        </is>
      </c>
    </row>
  </sheetData>
  <mergeCells count="3">
    <mergeCell ref="A13:F13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2026-05-29T02:36:16Z</dcterms:created>
  <dcterms:modified xmlns:dcterms="http://purl.org/dc/terms/" xmlns:xsi="http://www.w3.org/2001/XMLSchema-instance" xsi:type="dcterms:W3CDTF">2026-05-29T02:36:16Z</dcterms:modified>
</cp:coreProperties>
</file>